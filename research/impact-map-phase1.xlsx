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" sheetId="1" state="visible" r:id="rId3"/>
    <sheet name="Legend &amp; Method" sheetId="2" state="visible" r:id="rId4"/>
    <sheet name="Ombudsman" sheetId="3" state="visible" r:id="rId5"/>
    <sheet name="Demand – Kol Zchut" sheetId="4" state="visible" r:id="rId6"/>
    <sheet name="Inventory" sheetId="5" state="visible" r:id="rId7"/>
    <sheet name="Sources" sheetId="6" state="visible" r:id="rId8"/>
  </sheets>
  <definedNames>
    <definedName function="false" hidden="true" localSheetId="0" name="_xlnm._FilterDatabase" vbProcedure="false">Map!$A$1:$U$23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Blue cells (Fixed?, Buildable) are judgment inputs — change them and Score/Rank recalc. Factor table is on 'Legend &amp; Method'.</t>
        </r>
      </text>
    </comment>
  </commentList>
</comments>
</file>

<file path=xl/sharedStrings.xml><?xml version="1.0" encoding="utf-8"?>
<sst xmlns="http://schemas.openxmlformats.org/spreadsheetml/2006/main" count="1106" uniqueCount="732">
  <si>
    <t xml:space="preserve">#</t>
  </si>
  <si>
    <t xml:space="preserve">Gap (documented finding)</t>
  </si>
  <si>
    <t xml:space="preserve">Population in gap</t>
  </si>
  <si>
    <t xml:space="preserve">Population basis (source / derived)</t>
  </si>
  <si>
    <t xml:space="preserve">NIS at stake (source)</t>
  </si>
  <si>
    <t xml:space="preserve">Blocking mechanism</t>
  </si>
  <si>
    <t xml:space="preserve">Responsible body</t>
  </si>
  <si>
    <t xml:space="preserve">Fixed?</t>
  </si>
  <si>
    <t xml:space="preserve">Buildable (1–5)</t>
  </si>
  <si>
    <t xml:space="preserve">Unfixed factor</t>
  </si>
  <si>
    <t xml:space="preserve">Score</t>
  </si>
  <si>
    <t xml:space="preserve">Rank</t>
  </si>
  <si>
    <t xml:space="preserve">Source report</t>
  </si>
  <si>
    <t xml:space="preserve">Page(s)</t>
  </si>
  <si>
    <t xml:space="preserve">Verbatim / key quote</t>
  </si>
  <si>
    <t xml:space="preserve">Verification status</t>
  </si>
  <si>
    <t xml:space="preserve">Ombudsman overlay</t>
  </si>
  <si>
    <t xml:space="preserve">Kol Zchut overlay (2025 views)</t>
  </si>
  <si>
    <t xml:space="preserve">3-way (Comptroller / Ombudsman / Kol Zchut)</t>
  </si>
  <si>
    <t xml:space="preserve">Notes</t>
  </si>
  <si>
    <t xml:space="preserve">PDF URL</t>
  </si>
  <si>
    <t xml:space="preserve">Retirees not reached with information on their NII rights (ימי מידע)</t>
  </si>
  <si>
    <t xml:space="preserve">Derived: 'בשנים 2020-2025 פרשו כ-450,000' (p.14) − 17,428 who attended NII information days (p.15). Only 148,996 (33%) were invited (p.15; repeated p.20, p.55).</t>
  </si>
  <si>
    <t xml:space="preserve">n/q in source</t>
  </si>
  <si>
    <t xml:space="preserve">NII outreach capacity (BTL reply May 2026 cites COVID and the security situation, p.15); no national policy on retirement information; 707,000 elderly (56.5% of 1,252,000) live in towns without an App+60 centre (p.16); only 3,831 of 375,000 retirees 2020–24 (~1%) attended App+60 prep workshops (p.16). Retirees themselves name מיצוי זכויות as one of the three main areas retirement preparation should cover (p.19).</t>
  </si>
  <si>
    <t xml:space="preserve">המוסד לביטוח לאומי; המשרד לשוויון חברתי; משרד הרווחה</t>
  </si>
  <si>
    <t xml:space="preserve">N</t>
  </si>
  <si>
    <t xml:space="preserve">Comptroller special report 'בשיבה טובה?' Jun 2026 — ch. השמירה על רווחת האוכלוסייה המזדקנת</t>
  </si>
  <si>
    <t xml:space="preserve">14, 15, 16, 19, 20</t>
  </si>
  <si>
    <t xml:space="preserve">הזמין בט"ל רק 148,996 אזרחים ותיקים להשתתף בימי המידע שקיים בסניפיו. היקף מוזמנים זה מהווה כ-33% בלבד מכלל הפורשים באותן שנים. בפועל, השתתפו בימים אלו רק 17,428 משתתפים (המהווים כ-4% מכלל הפורשים באותן שנים) (p.15)</t>
  </si>
  <si>
    <t xml:space="preserve">PDF-VERIFIED verbatim (full PDF, 57 pp., read via your browser)</t>
  </si>
  <si>
    <t xml:space="preserve">NII: 1,581 complaints 2025, 7% justified (R52 p.26). Elderly special report 2023: 12,882 complaints by 65+ (2019–mid-2022), 13.2% Holocaust survivors.</t>
  </si>
  <si>
    <t xml:space="preserve">זיקנה והזדקנות 1.06M views 2025 (#12, ↑2). Russian site top pages = קצבת זקנה / השלמת הכנסה.</t>
  </si>
  <si>
    <t xml:space="preserve">C ✔ / O ✔ / K ✔</t>
  </si>
  <si>
    <t xml:space="preserve">Same population as rows on arnona-30% and electricity discount → one 'retiree rights checker' covers three findings.</t>
  </si>
  <si>
    <t xml:space="preserve">https://library.mevaker.gov.il/sites/DigitalLibrary/Documents/2026/Population-Aging/2026-Population-Aging-104.pdf</t>
  </si>
  <si>
    <t xml:space="preserve">Citizens 60–75 without any retirement preparation</t>
  </si>
  <si>
    <t xml:space="preserve">Source figure (the report's own sample-based extrapolation): 'ניתן לשער כי כ-434,000 אזרחים בני 60-75 לא עברו הכנה לפרישה' (p.12); 77% of respondents; 63% among those already retired; low-income 105,000–185,000 (82%) (p.12).</t>
  </si>
  <si>
    <t xml:space="preserve">51% of non-participants: nobody offered it; 18% unaware programmes exist (p.13). Only 3,831 of 375,000 retirees (≈1%) attended App+60 workshops (p.16).</t>
  </si>
  <si>
    <t xml:space="preserve">משרד הרווחה; המשרד לשוויון חברתי; ביטוח לאומי</t>
  </si>
  <si>
    <t xml:space="preserve">Comptroller 'בשיבה טובה?' Jun 2026 — ch. 104</t>
  </si>
  <si>
    <t xml:space="preserve">12, 13, 16</t>
  </si>
  <si>
    <t xml:space="preserve">77% מכלל המשיבים לסקר אוכלוסיית האזרחים הוותיקים בגילי 60-75 … לא עברו הכנה לפרישה (p.12)</t>
  </si>
  <si>
    <t xml:space="preserve">PDF-VERIFIED verbatim</t>
  </si>
  <si>
    <t xml:space="preserve">as above</t>
  </si>
  <si>
    <t xml:space="preserve">C ✔ / O – / K ✔</t>
  </si>
  <si>
    <t xml:space="preserve">Informational gap, not a cash entitlement — buildable only as a guide; scored low on buildability on purpose.</t>
  </si>
  <si>
    <t xml:space="preserve">Eligible households not receiving the electricity tariff discount</t>
  </si>
  <si>
    <t xml:space="preserve">Source figure: 'כ-158,000 זכאים אינם מקבלים הנחות בחשבון החשמל, ובהם ניצולי שואה וחיילים בודדים (מתוך כ-471,000 זכאים)' (p.1209; body p.1282). Uptake fell 67% (2016) → 64% (2022) (p.1209). Of the 158,000, 4,959 ARE IEC customers and still don't get it (Nov 2022, p.1283).</t>
  </si>
  <si>
    <t xml:space="preserve">n/q (discount value per household not stated)</t>
  </si>
  <si>
    <t xml:space="preserve">Discount is automatic only when the eligible person's ID/name matches an IEC customer record (p.1283); most non-recipients have no IEC contract in their own name (p.1209) and IEC says approaching non-customers is 'operationally and legally complex' and not its responsibility (p.1283). Lowest uptake: families with 4+ children 20–22%, lone soldiers 24–26%; Holocaust-survivor uptake declining 2016–22 (table p.1287).</t>
  </si>
  <si>
    <t xml:space="preserve">חברת החשמל; המוסד לביטוח לאומי; צה"ל (חיילים בודדים); רשות החשמל</t>
  </si>
  <si>
    <t xml:space="preserve">Unknown</t>
  </si>
  <si>
    <t xml:space="preserve">Comptroller annual 74א, Jan 2024 — השירות לציבור בחברת החשמל</t>
  </si>
  <si>
    <t xml:space="preserve">1209, 1281–1283, 1287, 1298</t>
  </si>
  <si>
    <t xml:space="preserve">כ-158,000 זכאים אינם מקבלים הנחות בחשבון החשמל, ובהם ניצולי שואה וחיילים בודדים (מתוך כ-471,000 זכאים). שיעור המיצוי נמוך במיוחד בקבוצת הזכאים של משפחות עם ארבעה ילדים (p.1209)</t>
  </si>
  <si>
    <t xml:space="preserve">PDF-VERIFIED verbatim (full PDF, 96 pp.)</t>
  </si>
  <si>
    <t xml:space="preserve">IEC: 558 complaints 2023 (R50-EN p.11–12); −38% in 2024 (R51 p.23). Not discount-specific.</t>
  </si>
  <si>
    <t xml:space="preserve">No dedicated topic; צרכנות 1.03M. Not in top-10 pages.</t>
  </si>
  <si>
    <t xml:space="preserve">C ✔✔ / O ~ / K –</t>
  </si>
  <si>
    <t xml:space="preserve">Actionable instruction for a tool: 'is the electricity contract in the eligible person's name? if not, transfer it' — then the discount is automatic by ID match. Eligible groups overlap heavily with the retiree cell.</t>
  </si>
  <si>
    <t xml:space="preserve">https://library.mevaker.gov.il/sites/DigitalLibrary/Documents/2024/2024.01-74A/2024-74A-303-Electric.pdf</t>
  </si>
  <si>
    <t xml:space="preserve">Oct-7 'second circle' exposed to the attack with no legal entitlement</t>
  </si>
  <si>
    <t xml:space="preserve">Source figure: ~180,000 in the מעגל השני (pp.2–21); 61,100 recognised first-circle claims.</t>
  </si>
  <si>
    <t xml:space="preserve">~₪1B TTR paid to Aug 2024 (first circle)</t>
  </si>
  <si>
    <t xml:space="preserve">No statutory entitlement without physical presence — legislative gap.</t>
  </si>
  <si>
    <t xml:space="preserve">ביטוח לאומי; משרד האוצר; משרד הביטחון (הרשות המאשרת)</t>
  </si>
  <si>
    <t xml:space="preserve">Comptroller special report Feb 2025 — הסדרת הסיוע לנפגעי פעולות איבה</t>
  </si>
  <si>
    <t xml:space="preserve">2–21 (abstract)</t>
  </si>
  <si>
    <t xml:space="preserve">~180,000 — as rendered</t>
  </si>
  <si>
    <t xml:space="preserve">Fetch-verified (abstract)</t>
  </si>
  <si>
    <t xml:space="preserve">NII 1,581 (2025)</t>
  </si>
  <si>
    <t xml:space="preserve">מצב חירום 1.16M (↓3)</t>
  </si>
  <si>
    <t xml:space="preserve">C ✔ / O ~ / K ~</t>
  </si>
  <si>
    <t xml:space="preserve">Nothing to match people to — excluded from recommendation despite population.</t>
  </si>
  <si>
    <t xml:space="preserve">https://library.mevaker.gov.il/sites/DigitalLibrary/Documents/2025/Swords-of-Iron-1/2025-Swords-of-Iron-300.pdf</t>
  </si>
  <si>
    <t xml:space="preserve">Adults with disabilities eligible for Welfare services but not receiving them</t>
  </si>
  <si>
    <t xml:space="preserve">Derived: 44,500 eligible − 25,500 receiving (57%) in 2022 (p.2). Subset: ~3,700 (37%) special-ed graduates get no service (p.9).</t>
  </si>
  <si>
    <t xml:space="preserve">n/q</t>
  </si>
  <si>
    <t xml:space="preserve">Non-recognition (10% of מש"ה, 24% of autism not recognised); no referral pathway at graduation; 'community housing' never defined (p.10).</t>
  </si>
  <si>
    <t xml:space="preserve">משרד הרווחה; ביטוח לאומי; משרד החינוך</t>
  </si>
  <si>
    <t xml:space="preserve">Comptroller annual 75א ch.1, Jul 2024 — טיפול משרד הרווחה בבוגרים עם מוגבלות</t>
  </si>
  <si>
    <t xml:space="preserve">2, 9, 10</t>
  </si>
  <si>
    <t xml:space="preserve">יותר משליש (כ-3,700 איש שהם 37%) מבוגרי מערכת החינוך המיוחד שמשרד הרווחה מכיר בהם</t>
  </si>
  <si>
    <t xml:space="preserve">Fetch-verified verbatim (abstract)</t>
  </si>
  <si>
    <t xml:space="preserve">משרד הרווחה complaints +69% in 2025 (R52 p.28), count n/q.</t>
  </si>
  <si>
    <t xml:space="preserve">אנשים עם מוגבלות 2.97M (#3)</t>
  </si>
  <si>
    <t xml:space="preserve">C ✔ / O ~ / K ✔</t>
  </si>
  <si>
    <t xml:space="preserve">Services are capacity-constrained; a family-facing 'what you are entitled to after special-ed' guide helps at the margin.</t>
  </si>
  <si>
    <t xml:space="preserve">https://library.mevaker.gov.il/sites/DigitalLibrary/Documents/2024/2024.07-75A/2024.07-75A-102-Adults-W-Disabilities.pdf</t>
  </si>
  <si>
    <t xml:space="preserve">Reservists paid only the minimum daily compensation</t>
  </si>
  <si>
    <t xml:space="preserve">Derived: one-third of ~318,000 mobilised Oct 2023–Jul 2024 (p.17–18); 57% of ~60,000 students (p.17).</t>
  </si>
  <si>
    <t xml:space="preserve">₪311/day ≈ ₪9,300/month minimum; risk of reverting to ₪215/day</t>
  </si>
  <si>
    <t xml:space="preserve">Statutory rate, not a take-up failure; temporary increase needs legislation.</t>
  </si>
  <si>
    <t xml:space="preserve">משרד האוצר; ביטוח לאומי</t>
  </si>
  <si>
    <t xml:space="preserve">Partial</t>
  </si>
  <si>
    <t xml:space="preserve">Comptroller special report Nov 2025 — reservists ch.1</t>
  </si>
  <si>
    <t xml:space="preserve">17, 18 (abstract)</t>
  </si>
  <si>
    <t xml:space="preserve">כשליש ממשרתי המילואים … קיבלו את סכום התגמול המזערי היומי (כ-311 ש"ח)</t>
  </si>
  <si>
    <t xml:space="preserve">Fetch-verified verbatim (abstract); compensation take-up ~99% per BTL (ch.1 p.19, PDF-verified)</t>
  </si>
  <si>
    <t xml:space="preserve">C ✔ / O ✔ / K ✔✔</t>
  </si>
  <si>
    <t xml:space="preserve">Not a rights-realisation gap; listed because it dominates the report.</t>
  </si>
  <si>
    <t xml:space="preserve">https://library.mevaker.gov.il/sites/DigitalLibrary/Documents/2025/Reservists/2025-Reservists-101-Benefit.pdf</t>
  </si>
  <si>
    <t xml:space="preserve">Disabled IDF veterans unaware of their 'נפש אחת' benefits basket</t>
  </si>
  <si>
    <t xml:space="preserve">Derived lower bound: the 74%–80% 'unaware' figure comes from a questionnaire among veterans with head injury, mental injury or PTSD — ~15,300 of the ~60,000 recognised veterans (p.1475, p.1479) → 15,300 × 74% = 11,322. Not extrapolated to all 60,000.</t>
  </si>
  <si>
    <t xml:space="preserve">Reform budget 2021–22 ₪1.5B (incl. ₪300M one-off), executed ₪443M (30%) (p.1477) → ₪1.057B unexecuted (derived); PTSD: ₪461M budget, 14% executed (p.1476)</t>
  </si>
  <si>
    <t xml:space="preserve">Awareness (74–80% unaware of personal basket; 74–79% of family basket, p.1479); department cannot 'push' benefits — each claim needs manual documentation; 66% of posts filled; digital system never started. Report written before the war (p.1475).</t>
  </si>
  <si>
    <t xml:space="preserve">משרד הביטחון – אגף השיקום</t>
  </si>
  <si>
    <t xml:space="preserve">Comptroller annual 74א, Jan 2024 — רפורמת 'נפש אחת'</t>
  </si>
  <si>
    <t xml:space="preserve">1475, 1476, 1477, 1479, 1557</t>
  </si>
  <si>
    <t xml:space="preserve">שיעור גבוה (74%-80%) של משיבים אינם מודעים לסל ההטבות האישי או מודעים רק לחלק ממנו, ושיעור דומה של משיבים (74%-79%) אינם מודעים לסל ההטבות לבני המשפחה (p.1479)</t>
  </si>
  <si>
    <t xml:space="preserve">PDF-VERIFIED verbatim (full PDF, 86 pp.)</t>
  </si>
  <si>
    <t xml:space="preserve">R52 appendix p.130: משרד הביטחון 286 complaints 2025, 48% justified; of which אגף שיקום נכים 211, 53.2% justified (highest of the big bodies).</t>
  </si>
  <si>
    <t xml:space="preserve">אנשים עם מוגבלות 2.97M (#3) — not veteran-specific.</t>
  </si>
  <si>
    <t xml:space="preserve">C ✔✔ / O ~ / K ~</t>
  </si>
  <si>
    <t xml:space="preserve">Sensitive population; population grew sharply after Oct 7. Content exists (MoD site, Kol Zchut). Strong #2 candidate.</t>
  </si>
  <si>
    <t xml:space="preserve">https://library.mevaker.gov.il/sites/DigitalLibrary/Documents/2024/2024.01-74A/2024-74A-401-Nefesh1.pdf</t>
  </si>
  <si>
    <t xml:space="preserve">Daycare-subsidy (סבסוד מעונות) applicants mishandled</t>
  </si>
  <si>
    <t xml:space="preserve">Source figure: 6,931 complaints against האגף לעידוד תעסוקת הורים in 2025 (+740%), 90.8% justified (R52 pp.24, 26). Complaints, not population.</t>
  </si>
  <si>
    <t xml:space="preserve">Call centre unavailable; extreme delays setting support grades; siblings graded differently; evacuee/reservist entitlements mishandled (R52 pp.70–86).</t>
  </si>
  <si>
    <t xml:space="preserve">משרד העבודה</t>
  </si>
  <si>
    <t xml:space="preserve">Ombudsman annual report 52 (for 2025), May 2026</t>
  </si>
  <si>
    <t xml:space="preserve">24, 26, 70–86</t>
  </si>
  <si>
    <t xml:space="preserve">6,931 / 90.8% — per fetch of R52 chart 3 (RTL chart decoding, cross-checked with press release)</t>
  </si>
  <si>
    <t xml:space="preserve">Agent-decoded chart + press release; verify in PDF</t>
  </si>
  <si>
    <t xml:space="preserve">This IS the Ombudsman signal (largest single body 2025).</t>
  </si>
  <si>
    <t xml:space="preserve">משפחה 1.05M (↑8)</t>
  </si>
  <si>
    <t xml:space="preserve">C – / O ✔✔ / K ✔</t>
  </si>
  <si>
    <t xml:space="preserve">Backlog problem; a tool could only generate Ombudsman complaints / status checks.</t>
  </si>
  <si>
    <t xml:space="preserve">https://library.mevaker.gov.il/sites/DigitalLibrary/Documents/2026/2026-NTZ-52.pdf</t>
  </si>
  <si>
    <t xml:space="preserve">Self-employed reservists in debt to BTL from compensation recalculation</t>
  </si>
  <si>
    <t xml:space="preserve">Source figure: 'בספטמבר 2024 היו לכ-4,400 משרתי מילואים עצמאים חובות בסך כ-37 מיליון שקלים … ומהם גבה כ-20 מיליון ש"ח באמצעות קיזוז' (ch.1 PDF p.24).</t>
  </si>
  <si>
    <t xml:space="preserve">₪37M (Sep 2024), ₪20M of it already offset</t>
  </si>
  <si>
    <t xml:space="preserve">Compensation advanced on projected income; final 2023 assessments lower → debt (p.24). Fix: late-2024 law — higher-of calculation for 2023–24, debts cancelled; extended to 2025 (p.25 recommends a permanent arrangement beyond 2025). Take-up of compensation itself: BTL reported ~99% in Dec 2024 and the Comptroller commends its outreach (p.19).</t>
  </si>
  <si>
    <t xml:space="preserve">ביטוח לאומי; משרד האוצר</t>
  </si>
  <si>
    <t xml:space="preserve">Comptroller special report Nov 2025 — היבטים במענה למשרתי המילואים, ch.1 (2025-Reservists-101-Benefit.pdf)</t>
  </si>
  <si>
    <t xml:space="preserve">19, 24, 25</t>
  </si>
  <si>
    <t xml:space="preserve">לפי נתוני בט"ל, בספטמבר 2024 היו לכ-4,400 משרתי מילואים עצמאים חובות בסך כ-37 מיליון שקלים, כתוצאה מהתחשבנות בהתאם לשומות לשנת 2023, ומהם גבה כ-20 מיליון ש"ח באמצעות קיזוז (p.24)</t>
  </si>
  <si>
    <t xml:space="preserve">PDF-VERIFIED verbatim (ch.1 PDF, 56 pp.)</t>
  </si>
  <si>
    <t xml:space="preserve">R52 appendix p.136: ביטוח לאומי 1,677 complaints 2025, 7.1% justified (36 of 505 decided). Chart 3 p.26: 1,581.</t>
  </si>
  <si>
    <t xml:space="preserve">מילואים 0.95M 2025 (#15, ↓7); 1.5M 2024 (#8)</t>
  </si>
  <si>
    <t xml:space="preserve">Your candidate #1 — verified, but the debt was cancelled by law (temporary through 2025) and compensation take-up is ~99%. Gap closed; only the post-2025 permanence is open.</t>
  </si>
  <si>
    <t xml:space="preserve">Public housing: eligible households waiting</t>
  </si>
  <si>
    <t xml:space="preserve">Source figure: 4,300 eligible waiting, avg 35 months (agent-reported from Jul 2024 ch. 204).</t>
  </si>
  <si>
    <t xml:space="preserve">Stock fell 90k→48k; no units in Arab/Haredi towns.</t>
  </si>
  <si>
    <t xml:space="preserve">משרד הבינוי והשיכון; עמידר</t>
  </si>
  <si>
    <t xml:space="preserve">Comptroller annual 75א ch.1, Jul 2024 — דיור ציבורי: ביקורת מעקב</t>
  </si>
  <si>
    <t xml:space="preserve">n/v</t>
  </si>
  <si>
    <t xml:space="preserve">—</t>
  </si>
  <si>
    <t xml:space="preserve">Agent-reported — verify</t>
  </si>
  <si>
    <t xml:space="preserve">עמידר complaints (elderly report 2023: 2,919 in 2019–21)</t>
  </si>
  <si>
    <t xml:space="preserve">דיור ושיכון 1.77M (↑1)</t>
  </si>
  <si>
    <t xml:space="preserve">Supply-side.</t>
  </si>
  <si>
    <t xml:space="preserve">https://library.mevaker.gov.il/sites/DigitalLibrary/Documents/2024/2024.07-75A/2024.07-75A-204-Diyoor-Tziburi.pdf</t>
  </si>
  <si>
    <t xml:space="preserve">Reservists' employment rights violated (dismissals, protections)</t>
  </si>
  <si>
    <t xml:space="preserve">Source figure: 542 suspected employment-rights cases Oct 2023–May 2024 (≈4× the ~37/yr average); 244 dismissal-permit requests, 240 granted (p.17). Reported cases only.</t>
  </si>
  <si>
    <t xml:space="preserve">Protections temporary (days 31–60 post-discharge protection expires end-2025, p.20); other-parent rights not publicised by IDF until Jul 2025 (ch.1 p.54). The Comptroller himself doubts a broad phenomenon: 'ספק אם ניתן להצביע … על תופעה רחבה של פגיעה בזכויות משרתי המילואים בעבודה' given ~217,000 employees (ch.1 p.51), while noting under-reporting for fear of employers.</t>
  </si>
  <si>
    <t xml:space="preserve">משרד הביטחון (ועדת התעסוקה); משרד העבודה; צה"ל; נציבות שוויון הזדמנויות בעבודה</t>
  </si>
  <si>
    <t xml:space="preserve">17, 20, 51, 53, 54</t>
  </si>
  <si>
    <t xml:space="preserve">542 מספר המקרים שבהם עלה חשש לפגיעה בזכויות בעבודה (p.17)</t>
  </si>
  <si>
    <t xml:space="preserve">The state already built this tool: the Equal Opportunities Commission published a routing questionnaire and a digital rights guide for reservists and spouses in Jul 2024, and the Labour Ministry a chatbot (ch.1 p.53). Not a gap to fill.</t>
  </si>
  <si>
    <t xml:space="preserve">Small businesses' war aid: claims unprocessed, fees to representatives</t>
  </si>
  <si>
    <t xml:space="preserve">~60,000 claims (12%) unprocessed; only 9% of ≤₪300k businesses paid at first; ₪1.27B absorbed by representatives' fees (תקציר, Jun 2025).</t>
  </si>
  <si>
    <t xml:space="preserve">₪1.27B fees</t>
  </si>
  <si>
    <t xml:space="preserve">Complex filing → paid representatives; processing backlog.</t>
  </si>
  <si>
    <t xml:space="preserve">רשות המסים; משרד הכלכלה; משרד האוצר</t>
  </si>
  <si>
    <t xml:space="preserve">Y</t>
  </si>
  <si>
    <t xml:space="preserve">Comptroller special report Jun 2025 — יישום הסיוע הכלכלי לעסקים קטנים</t>
  </si>
  <si>
    <t xml:space="preserve">תקציר (n/v)</t>
  </si>
  <si>
    <t xml:space="preserve">Agent-reported from תקציר; not re-fetched</t>
  </si>
  <si>
    <t xml:space="preserve">רשות המסים 1,119 complaints 2025 (+42%), 10% justified</t>
  </si>
  <si>
    <t xml:space="preserve">עצמאים ובעלי עסקים 1.08M (↑3)</t>
  </si>
  <si>
    <t xml:space="preserve">Programme is time-bound and largely closed → factor 0.</t>
  </si>
  <si>
    <t xml:space="preserve">https://library.mevaker.gov.il/sites/DigitalLibrary/Documents/2025/Swords-of-Iron-3/2025.6-Small-Businesses-Taktzir.pdf</t>
  </si>
  <si>
    <t xml:space="preserve">Arnona discounts/exemptions not received by eligible residents (all groups)</t>
  </si>
  <si>
    <t xml:space="preserve">n/q — neither report counts eligible non-recipients. Scale: discounts &amp; exemptions ₪7.382B in 2023 (Ombudsman p.10); ₪8.8B in 2020 (Comptroller 2023 p.245).</t>
  </si>
  <si>
    <t xml:space="preserve">₪7.38B/yr total discounts (2023); unclaimed share n/q</t>
  </si>
  <si>
    <t xml:space="preserve">Annual re-application demanded from automatic-eligible groups; retroactive discounts refused; reservists denied on address mismatch (p.28); wrong age thresholds (p.27); irregular BTL data feeds (some councils yearly, 2023 report p.249); unlawful compound-discount handling; no appeals committees (p.250).</t>
  </si>
  <si>
    <t xml:space="preserve">רשויות מקומיות; משרד הפנים</t>
  </si>
  <si>
    <t xml:space="preserve">Ombudsman special report Feb 2026 — תלונות הציבור בנושא ארנונה; Comptroller שלטון מקומי Jul 2023 — ארנונה: אסדרה, הטלה ומתן הנחות</t>
  </si>
  <si>
    <t xml:space="preserve">Ombudsman: 3, 10, 12–17, 24–39; Comptroller 2023: 245, 248–250</t>
  </si>
  <si>
    <t xml:space="preserve">אוכלוסיות הזקוקות להנחות בארנונה לעיתים חשופות יותר לפערי מידע ולקשיי נגישות מול הרשויות (Ombudsman p.3)</t>
  </si>
  <si>
    <t xml:space="preserve">Fetch-verified (Ombudsman report fully visible, 43 pp.; Comptroller abstract pp.245–266)</t>
  </si>
  <si>
    <t xml:space="preserve">Dedicated report: 937 complaints 1/2023–11/2025, 40% justified; 41.8% about discounts (41.6% justified); ₪376,508 recovered; local govt ≈20% of all 2025 complaints.</t>
  </si>
  <si>
    <t xml:space="preserve">Not in any published ranking (inside מיסים 3.21M / דיור 1.77M).</t>
  </si>
  <si>
    <t xml:space="preserve">C ✔ / O ✔✔ / K –</t>
  </si>
  <si>
    <t xml:space="preserve">Highest buildability in the map; population unquantified. The '₪3B' in your brief is an Israel Hayom headline, not in the report.</t>
  </si>
  <si>
    <t xml:space="preserve">https://library.mevaker.gov.il/sites/DigitalLibrary/Documents/2026/2026-Ombudsman-Arnona.pdf</t>
  </si>
  <si>
    <t xml:space="preserve">Seniors receiving the 25% regulatory arnona discount instead of the 30% statutory one</t>
  </si>
  <si>
    <t xml:space="preserve">n/q nationally. In 7 of 9 audited authorities (אלעד, אשקלון, נס ציונה, ערד, קריית ביאליק, שדות דן, תל מונד) 1%–5% of seniors held the 30% discount under חוק האזרחים הוותיקים while 18%–40% held the 25% regulatory discount (p.622; table on PDF p.92, e.g. Ashkelon: 39 seniors at 30% vs 4,375 at 25%). 1.16M seniors 65+ nationally (p.620).</t>
  </si>
  <si>
    <t xml:space="preserve">n/q (5 pp of the bill on up to 100 m²; law: income ≤ average wage, one-time written application — PDF p.91)</t>
  </si>
  <si>
    <t xml:space="preserve">25% applied automatically by age; 30% requires a one-time application with income test; audited municipalities 'אינן מיידעות באופן יזום' seniors that they can apply (p.623); 84% of seniors report no proactive contact from their municipality (p.622); rights info on municipal websites 'אינו בולט ואינו זמין בקלות' (p.626).</t>
  </si>
  <si>
    <t xml:space="preserve">רשויות מקומיות; משרד הפנים; משרד הרווחה</t>
  </si>
  <si>
    <t xml:space="preserve">Comptroller שלטון מקומי Jul 2023 — טיפול הרשויות המקומיות באזרחים הוותיקים</t>
  </si>
  <si>
    <t xml:space="preserve">620, 622, 623, 626; body PDF pp.91–93</t>
  </si>
  <si>
    <t xml:space="preserve">מספר האזרחים הוותיקים שמקבלים הנחה בשיעור של 30% מתוקף חוק האזרחים הוותיקים נמוך (בין 1% ל-5% מהאזרחים הוותיקים) ושיעור מקבלי הנחת אזרח ותיק בשיעור 25% מתוקף תקנות ההנחה בארנונה נע בין 18% ל-40% (p.622)</t>
  </si>
  <si>
    <t xml:space="preserve">Arnona report cases: wrong age threshold (Ashdod p.27), wrongful cancellation for elderly (Rishon p.30). Elderly report 2023 p.41: Interior Ministry asked to examine a digital platform pooling arnona-discount eligibility data (MoD, NII, survivors' authority, Aliyah) for all 255 municipalities; p.31: BTL study — 86% would apply 'if the process were simpler'.</t>
  </si>
  <si>
    <t xml:space="preserve">זיקנה 1.06M</t>
  </si>
  <si>
    <t xml:space="preserve">C ✔ / O ✔ / K ~</t>
  </si>
  <si>
    <t xml:space="preserve">Single sharpest 'money left on the table' item for the retiree cell: 3 questions + a pre-filled request letter.</t>
  </si>
  <si>
    <t xml:space="preserve">https://library.mevaker.gov.il/sites/DigitalLibrary/Documents/2023/2023-Shilton/2023-Shilton-202-Vatikim.pdf</t>
  </si>
  <si>
    <t xml:space="preserve">Seniors unaware of municipal services</t>
  </si>
  <si>
    <t xml:space="preserve">n/q nationally (survey shares): 42% don't know municipal leisure services (p.621); &lt;60% know any service; 84% never contacted proactively (p.622); day-centre uptake 9–30% (p.622).</t>
  </si>
  <si>
    <t xml:space="preserve">Under-spent 2021 welfare allocations in 6 audited municipalities, e.g. Ashkelon ₪4.89M at 90% (p.621)</t>
  </si>
  <si>
    <t xml:space="preserve">No proactive outreach; 32 municipalities (12.5%) never appointed a seniors' advisor.</t>
  </si>
  <si>
    <t xml:space="preserve">רשויות מקומיות; משרד הרווחה; המשרד לשוויון חברתי</t>
  </si>
  <si>
    <t xml:space="preserve">Comptroller שלטון מקומי Jul 2023 — ch. 202</t>
  </si>
  <si>
    <t xml:space="preserve">621–622</t>
  </si>
  <si>
    <t xml:space="preserve">42% מהאזרחים הוותיקים לא מכירים את פעילויות הפנאי שמספקות הרשויות המקומיות</t>
  </si>
  <si>
    <t xml:space="preserve">Fetch-verified verbatim</t>
  </si>
  <si>
    <t xml:space="preserve">Elderly special report 2023 (12,882 complaints)</t>
  </si>
  <si>
    <t xml:space="preserve">Municipal programmes are not in Kol Zchut — content would have to be built per municipality; keep out of a 3-day scope.</t>
  </si>
  <si>
    <t xml:space="preserve">Water-bill relief for disadvantaged households not reaching them</t>
  </si>
  <si>
    <t xml:space="preserve">n/q. Budget 2015–2021 unused: ₪243M (~42%) per text p.1408–1409 vs ₪225M (~52%) in summary box p.1409 — internal inconsistency, flag.</t>
  </si>
  <si>
    <t xml:space="preserve">₪225–243M unused 2015–2021</t>
  </si>
  <si>
    <t xml:space="preserve">'מנגנון הסיוע לאוכלוסיות ראויות לקידום אינו יעיל' — regulation never amended; follow-up: הליקוי לא תוקן (p.1409).</t>
  </si>
  <si>
    <t xml:space="preserve">רשות המים; משרד האוצר; תאגידי מים</t>
  </si>
  <si>
    <t xml:space="preserve">Comptroller annual 74א, Jan 2024 — תאגידי המים והביוב: ביקורת מעקב</t>
  </si>
  <si>
    <t xml:space="preserve">1408–1409</t>
  </si>
  <si>
    <t xml:space="preserve">הליקוי לא תוקן: מנגנון הסיוע לא תוקן, ומשרד האוצר לא הגיש לוועדת הכספים הצעה לתיקון התקנות</t>
  </si>
  <si>
    <t xml:space="preserve">C ✔ / O – / K –</t>
  </si>
  <si>
    <t xml:space="preserve">Regulatory design failure — not closable by a tool.</t>
  </si>
  <si>
    <t xml:space="preserve">https://library.mevaker.gov.il/sites/DigitalLibrary/Documents/2024/2024.01-74A/2024-74A-305-Water-Taagid.pdf</t>
  </si>
  <si>
    <t xml:space="preserve">Employers of reservists — reimbursement of social contributions (20% of daily wage)</t>
  </si>
  <si>
    <t xml:space="preserve">n/q — take-up not in visible abstract; mechanism temporary to end-2024, extended to end-2025 (p.18).</t>
  </si>
  <si>
    <t xml:space="preserve">Temporary statutory mechanism; awareness among small employers (your candidate) not quantified in the abstract.</t>
  </si>
  <si>
    <t xml:space="preserve">Comptroller reservists report Nov 2025 ch.1</t>
  </si>
  <si>
    <t xml:space="preserve">18</t>
  </si>
  <si>
    <t xml:space="preserve">שיפוי מעסיקים בגין ההפרשות הסוציאליות …</t>
  </si>
  <si>
    <t xml:space="preserve">Fetch-verified (mechanism only)</t>
  </si>
  <si>
    <t xml:space="preserve">מילואים 0.95M</t>
  </si>
  <si>
    <t xml:space="preserve">C ~ / O – / K ✔</t>
  </si>
  <si>
    <t xml:space="preserve">Your candidate #2 — no take-up number in the abstract; 2026 status of the mechanism unknown.</t>
  </si>
  <si>
    <t xml:space="preserve">https://library.mevaker.gov.il/sites/DigitalLibrary/Documents/2025/Reservists/2025-Reservists-All-Report-HE.pdf</t>
  </si>
  <si>
    <t xml:space="preserve">Reservist students not refunded tuition / registration fees</t>
  </si>
  <si>
    <t xml:space="preserve">n/q — 3 of 25 institutions (12%) did not fully refund tuition; 32% did not fully refund registration fees (p.9). ~60,000 student reservists.</t>
  </si>
  <si>
    <t xml:space="preserve">n/q; institutions used ₪124M of ₪195M support budget (press release)</t>
  </si>
  <si>
    <t xml:space="preserve">Institutional non-compliance with מל"ג guidance.</t>
  </si>
  <si>
    <t xml:space="preserve">מל"ג/ות"ת; מוסדות להשכלה גבוהה</t>
  </si>
  <si>
    <t xml:space="preserve">Comptroller reservists report Nov 2025 ch.2</t>
  </si>
  <si>
    <t xml:space="preserve">9 (foreword)</t>
  </si>
  <si>
    <t xml:space="preserve">12% ממוסדות הלימוד (3 מ-25 המוסדות) לא נתנו החזר מלא של שכר הלימוד</t>
  </si>
  <si>
    <t xml:space="preserve">Small, institution-specific.</t>
  </si>
  <si>
    <t xml:space="preserve">Adults with post-Oct-7 mental-health symptoms not in care</t>
  </si>
  <si>
    <t xml:space="preserve">n/q as a gap: ~3M adults with moderate–severe PTSD/depression/anxiety symptoms (Apr 2024 survey, pp.2–23); 11% of hotel evacuees treated; projected demand 680,000 vs capacity 340,000.</t>
  </si>
  <si>
    <t xml:space="preserve">No systematic identification; 6.5-month waits at health funds; response 'ברובו המוחלט על מתנדבים'.</t>
  </si>
  <si>
    <t xml:space="preserve">משרד הבריאות; קופות החולים; ביטוח לאומי; מרכזי חוסן</t>
  </si>
  <si>
    <t xml:space="preserve">Comptroller special report Feb 2025 — הטיפול בבריאות הנפש</t>
  </si>
  <si>
    <t xml:space="preserve">2–23 (abstract)</t>
  </si>
  <si>
    <t xml:space="preserve">משרד הבריאות 687 complaints 2025 (43%)</t>
  </si>
  <si>
    <t xml:space="preserve">בריאות ומחלות 1.32M (↑1)</t>
  </si>
  <si>
    <t xml:space="preserve">Health-basket/Tofes-17 appeals (your candidate #5) do not appear as a quantified Comptroller finding in 2023–26.</t>
  </si>
  <si>
    <t xml:space="preserve">https://library.mevaker.gov.il/sites/DigitalLibrary/Documents/2025/Swords-of-Iron-1/2025-Swords-of-Iron-100.pdf</t>
  </si>
  <si>
    <t xml:space="preserve">War-wounded: recognition backlog at אגף השיקום; NII benefits unpaid</t>
  </si>
  <si>
    <t xml:space="preserve">Agent-reported from the Jun 2026 report: ~7,000 recognition applications pending, 2,200 &gt;1 yr; ~₪62M NII benefits unpaid (2024). NOT confirmed in the fetched pp.1–29 (which cover rehab capacity).</t>
  </si>
  <si>
    <t xml:space="preserve">~₪62M (agent-reported)</t>
  </si>
  <si>
    <t xml:space="preserve">Administrative backlog; patients not told of rehab options.</t>
  </si>
  <si>
    <t xml:space="preserve">משרד הביטחון – אגף השיקום; ביטוח לאומי; משרד הבריאות</t>
  </si>
  <si>
    <t xml:space="preserve">Comptroller special report 'פצע פתוח' Jun 2026 — ch. 102</t>
  </si>
  <si>
    <t xml:space="preserve">Agent-reported only — verify</t>
  </si>
  <si>
    <t xml:space="preserve">MoD/IDF complaints rising (R51 p.21, R52 p.28)</t>
  </si>
  <si>
    <t xml:space="preserve">אנשים עם מוגבלות 2.97M</t>
  </si>
  <si>
    <t xml:space="preserve">C ? / O ~ / K ~</t>
  </si>
  <si>
    <t xml:space="preserve">Backlog, not take-up.</t>
  </si>
  <si>
    <t xml:space="preserve">https://library.mevaker.gov.il/sites/DigitalLibrary/Documents/2026/Swords-of-Iron/2026-Swords-of-Iron-102.pdf</t>
  </si>
  <si>
    <t xml:space="preserve">People with disabilities — local authorities unable to supply mandated services</t>
  </si>
  <si>
    <t xml:space="preserve">n/q as a gap: 1.6M people with disabilities (2020); only 23% of authorities can supply all mandated services; 7× gap in social-worker posts periphery vs centre (pp.433–456).</t>
  </si>
  <si>
    <t xml:space="preserve">₪3.3B allocation 2020</t>
  </si>
  <si>
    <t xml:space="preserve">Supply-side: staffing, policy vacuum, reactive rather than proactive identification.</t>
  </si>
  <si>
    <t xml:space="preserve">משרד הרווחה; רשויות מקומיות</t>
  </si>
  <si>
    <t xml:space="preserve">Comptroller שלטון מקומי Jul 2023 — ch. 201</t>
  </si>
  <si>
    <t xml:space="preserve">433–456</t>
  </si>
  <si>
    <t xml:space="preserve">C ✔ / O – / K ✔✔</t>
  </si>
  <si>
    <t xml:space="preserve">https://library.mevaker.gov.il/sites/DigitalLibrary/Documents/2023/2023-Shilton/2023-Shilton-201-Disabled.pdf</t>
  </si>
  <si>
    <t xml:space="preserve">OUT OF WINDOW (2021): unclaimed tax benefits / social rights — ₪3.6B by ~2M citizens</t>
  </si>
  <si>
    <t xml:space="preserve">Not scored — published 2021 (72א), outside the 2023–2026 window. Listed because Kol Zchut demand is strongest here (מיסים 3.21M; מענק עבודה 250K views; נקודות זיכוי 180K).</t>
  </si>
  <si>
    <t xml:space="preserve">₪3.6B (2021 report)</t>
  </si>
  <si>
    <t xml:space="preserve">Awareness; active filing required (מענק עבודה, נקודות זיכוי, החזרי מס).</t>
  </si>
  <si>
    <t xml:space="preserve">רשות המסים; ביטוח לאומי</t>
  </si>
  <si>
    <t xml:space="preserve">Comptroller 72א (2021) — מיצוי הטבות מס ברשות המיסים: מעקב מורחב; אי-מיצוי זכויות חברתיות: ביקורת מעקב</t>
  </si>
  <si>
    <t xml:space="preserve">Agent-reported; out of window</t>
  </si>
  <si>
    <t xml:space="preserve">רשות המסים 1,119 (2025)</t>
  </si>
  <si>
    <t xml:space="preserve">מיסים 3.21M (#2); מענק עבודה 250K (#4 page)</t>
  </si>
  <si>
    <t xml:space="preserve">C (2021) / O ✔ / K ✔✔</t>
  </si>
  <si>
    <t xml:space="preserve">If you relax the window, this is the largest cell in the country. Decision for you.</t>
  </si>
  <si>
    <t xml:space="preserve">https://library.mevaker.gov.il/sites/DigitalLibrary/Pages/Reports/7336-15.aspx</t>
  </si>
  <si>
    <t xml:space="preserve">Impact Week — Phase 1 impact map (built Mon 14 Sep 2026)</t>
  </si>
  <si>
    <t xml:space="preserve">Method</t>
  </si>
  <si>
    <t xml:space="preserve">Source universe: State Comptroller (מבקר המדינה) and Ombudsman (נציב תלונות הציבור) reports published Jan 2023 – Sep 2026 that deal with מיצוי זכויות / שירות לאזרח (inventory: 50 items, see 'Inventory' sheet).</t>
  </si>
  <si>
    <t xml:space="preserve">Each row on 'Map' is one documented finding. Population = people the SOURCE documents as not receiving the right (not the whole eligible population). 'n/q' = the source does not quantify it; no estimate was substituted.</t>
  </si>
  <si>
    <t xml:space="preserve">Score = Population × Unfixed factor × Buildable (people-first ranking, as agreed Mon morning). NIS at stake is shown but is a tiebreak, not a multiplier — population cancels out of the original people × NIS-per-person formula.</t>
  </si>
  <si>
    <t xml:space="preserve">Overlays: Ombudsman complaint volume against the responsible body (sheet 'Ombudsman'), Kol Zchut 2025 topic/page views (sheet 'Demand – Kol Zchut'). Google Trends was not reachable from the sandbox.</t>
  </si>
  <si>
    <t xml:space="preserve">Unfixed factor (blue = editable assumption)</t>
  </si>
  <si>
    <t xml:space="preserve">Factor</t>
  </si>
  <si>
    <t xml:space="preserve">Meaning</t>
  </si>
  <si>
    <t xml:space="preserve">Source says not fixed / follow-up audit says הליקוי לא תוקן</t>
  </si>
  <si>
    <t xml:space="preserve">No follow-up audit found; status after report unknown</t>
  </si>
  <si>
    <t xml:space="preserve">Temporary or partial fix documented</t>
  </si>
  <si>
    <t xml:space="preserve">Fixed or programme expired</t>
  </si>
  <si>
    <t xml:space="preserve">Buildable scale (1–5)</t>
  </si>
  <si>
    <t xml:space="preserve">A matcher / letter generator directly closes the gap using the existing public corpus (Kol Zchut, BTL, municipality forms).</t>
  </si>
  <si>
    <t xml:space="preserve">Matcher helps a lot but one step outside the tool is still required (visit, document, committee).</t>
  </si>
  <si>
    <t xml:space="preserve">Tool helps at the margin, or the exact claim process must be verified before building.</t>
  </si>
  <si>
    <t xml:space="preserve">Gap is mostly supply-side or administrative backlog; a tool can only generate complaints / status checks.</t>
  </si>
  <si>
    <t xml:space="preserve">Legislative, budgetary, or no legal entitlement exists — not buildable in 3 days.</t>
  </si>
  <si>
    <t xml:space="preserve">Caveats (read before trusting a number)</t>
  </si>
  <si>
    <t xml:space="preserve">1. Verification levels (column 'Verification status'): PDF-VERIFIED = the full PDF was read through Harel's browser (pdf.js text extraction) and the quote/page checked verbatim — applies to the 7 finalist reports: aging ch.104, seniors 2023, electricity 74א, נפש אחת 74א, reservists ch.1, Ombudsman 52, Ombudsman elderly 2023. Fetch-verified = only the first ~25 pages (the official תקציר) were readable from the sandbox. Agent-reported = taken from a research agent's reading, not re-checked.</t>
  </si>
  <si>
    <t xml:space="preserve">2. Page numbers are PRINTED page numbers (annual-report chapters carry the volume's numbering, e.g. 1209; standalone special reports start at 1). Where a body table has no printed number the PDF page index is given as 'PDF p.N'.</t>
  </si>
  <si>
    <t xml:space="preserve">3. 'Derived' in the Population-basis column means one subtraction or multiplication of two figures that both appear in the source (e.g. 450,000 retirees − 17,428 attendees). Nothing else was computed; nothing was estimated.</t>
  </si>
  <si>
    <t xml:space="preserve">4. Rows whose population is n/q are NOT ranked. They are listed so the qualitative case (esp. arnona) is visible; they can enter the ranking once a source gives a count.</t>
  </si>
  <si>
    <t xml:space="preserve">5. Out-of-window item: 72א (2021) 'אי-מיצוי זכויות חברתיות' / 'מיצוי הטבות מס' (₪3.6B unclaimed tax benefits, ~2M people) is the direct predecessor of this map. Listed on 'Map' as unscored for transparency.</t>
  </si>
  <si>
    <t xml:space="preserve">Year</t>
  </si>
  <si>
    <t xml:space="preserve">Body</t>
  </si>
  <si>
    <t xml:space="preserve">Complaints filed</t>
  </si>
  <si>
    <t xml:space="preserve">% justified</t>
  </si>
  <si>
    <t xml:space="preserve">Source</t>
  </si>
  <si>
    <t xml:space="preserve">Page</t>
  </si>
  <si>
    <t xml:space="preserve">2023</t>
  </si>
  <si>
    <t xml:space="preserve">TOTAL</t>
  </si>
  <si>
    <t xml:space="preserve">43% justified/rectified; 33% among decided</t>
  </si>
  <si>
    <t xml:space="preserve">https://www.mevaker.gov.il/newsroom/2024-06-24 ; https://library.mevaker.gov.il/sites/DigitalLibrary/Documents/2024/2024-NTZ-50-Taktzir-EN.pdf</t>
  </si>
  <si>
    <t xml:space="preserve">R50 p.4; R50-EN pp.10,12</t>
  </si>
  <si>
    <t xml:space="preserve">משרד התחבורה</t>
  </si>
  <si>
    <t xml:space="preserve">n/s</t>
  </si>
  <si>
    <t xml:space="preserve">https://library.mevaker.gov.il/sites/DigitalLibrary/Documents/2024/2024-NTZ-50-Taktzir-EN.pdf</t>
  </si>
  <si>
    <t xml:space="preserve">11–12</t>
  </si>
  <si>
    <t xml:space="preserve">המוסד לביטוח לאומי</t>
  </si>
  <si>
    <t xml:space="preserve">n/s (&lt;33%)</t>
  </si>
  <si>
    <t xml:space="preserve">רשות האוכלוסין</t>
  </si>
  <si>
    <t xml:space="preserve">49.1%</t>
  </si>
  <si>
    <t xml:space="preserve">11–13</t>
  </si>
  <si>
    <t xml:space="preserve">43.6%</t>
  </si>
  <si>
    <t xml:space="preserve">רשות המסים</t>
  </si>
  <si>
    <t xml:space="preserve">דואר ישראל</t>
  </si>
  <si>
    <t xml:space="preserve">40.9%</t>
  </si>
  <si>
    <t xml:space="preserve">משטרת ישראל</t>
  </si>
  <si>
    <t xml:space="preserve">משרד החינוך</t>
  </si>
  <si>
    <t xml:space="preserve">69.1%</t>
  </si>
  <si>
    <t xml:space="preserve">משרד הבריאות</t>
  </si>
  <si>
    <t xml:space="preserve">66.3%</t>
  </si>
  <si>
    <t xml:space="preserve">חברת החשמל</t>
  </si>
  <si>
    <t xml:space="preserve">גופי השלטון המקומי (total)</t>
  </si>
  <si>
    <t xml:space="preserve">— (R51 chart 17 says 4,730 — discrepancy)</t>
  </si>
  <si>
    <t xml:space="preserve">https://www.mevaker.gov.il/newsroom/2024-06-24</t>
  </si>
  <si>
    <t xml:space="preserve">R51 p.38</t>
  </si>
  <si>
    <t xml:space="preserve">עיריית ירושלים</t>
  </si>
  <si>
    <t xml:space="preserve">61%</t>
  </si>
  <si>
    <t xml:space="preserve">R51 p.39</t>
  </si>
  <si>
    <t xml:space="preserve">2024</t>
  </si>
  <si>
    <t xml:space="preserve">46% justified/rectified; 37% among decided</t>
  </si>
  <si>
    <t xml:space="preserve">https://library.mevaker.gov.il/sites/DigitalLibrary/Documents/2025/2025-NTZ-51.pdf</t>
  </si>
  <si>
    <t xml:space="preserve">p.4</t>
  </si>
  <si>
    <t xml:space="preserve">33.5%</t>
  </si>
  <si>
    <t xml:space="preserve">20–21</t>
  </si>
  <si>
    <t xml:space="preserve">המשרד לביטחון לאומי (רישוי נשק)</t>
  </si>
  <si>
    <t xml:space="preserve">85.4%</t>
  </si>
  <si>
    <t xml:space="preserve">7.4%</t>
  </si>
  <si>
    <t xml:space="preserve">72.7%</t>
  </si>
  <si>
    <t xml:space="preserve">53.7%</t>
  </si>
  <si>
    <t xml:space="preserve">17%</t>
  </si>
  <si>
    <t xml:space="preserve">17.3%</t>
  </si>
  <si>
    <t xml:space="preserve">32.3%</t>
  </si>
  <si>
    <t xml:space="preserve">60.5%</t>
  </si>
  <si>
    <t xml:space="preserve">40.1%</t>
  </si>
  <si>
    <t xml:space="preserve">משרד הביטחון</t>
  </si>
  <si>
    <t xml:space="preserve">n/v (+31% YoY)</t>
  </si>
  <si>
    <t xml:space="preserve">21</t>
  </si>
  <si>
    <t xml:space="preserve">24% of complaints</t>
  </si>
  <si>
    <t xml:space="preserve">38</t>
  </si>
  <si>
    <t xml:space="preserve">2025</t>
  </si>
  <si>
    <t xml:space="preserve">56% among decided (6,021 of 10,672); 7,429 rectified without ruling</t>
  </si>
  <si>
    <t xml:space="preserve">24, 31</t>
  </si>
  <si>
    <t xml:space="preserve">משרד העבודה (סבסוד מעונות)</t>
  </si>
  <si>
    <t xml:space="preserve">91% (6,931 vs האגף לעידוד תעסוקת הורים, 90.8%)</t>
  </si>
  <si>
    <t xml:space="preserve">24, 26</t>
  </si>
  <si>
    <t xml:space="preserve">26%</t>
  </si>
  <si>
    <t xml:space="preserve">26</t>
  </si>
  <si>
    <t xml:space="preserve">7%</t>
  </si>
  <si>
    <t xml:space="preserve">26–27</t>
  </si>
  <si>
    <t xml:space="preserve">10%</t>
  </si>
  <si>
    <t xml:space="preserve">47%</t>
  </si>
  <si>
    <t xml:space="preserve">33%</t>
  </si>
  <si>
    <t xml:space="preserve">35%</t>
  </si>
  <si>
    <t xml:space="preserve">43%</t>
  </si>
  <si>
    <t xml:space="preserve">34%</t>
  </si>
  <si>
    <t xml:space="preserve">משרד המשפטים</t>
  </si>
  <si>
    <t xml:space="preserve">29%</t>
  </si>
  <si>
    <t xml:space="preserve">המשרד לביטחון לאומי</t>
  </si>
  <si>
    <t xml:space="preserve">— (−83%)</t>
  </si>
  <si>
    <t xml:space="preserve">28</t>
  </si>
  <si>
    <t xml:space="preserve">צה"ל / משרד הרווחה / קופ"ח מאוחדת</t>
  </si>
  <si>
    <t xml:space="preserve">n/v (+54% / +69% / +63%)</t>
  </si>
  <si>
    <t xml:space="preserve">גופי השלטון המקומי</t>
  </si>
  <si>
    <t xml:space="preserve">≈20% of complaints (count n/v)</t>
  </si>
  <si>
    <t xml:space="preserve">25</t>
  </si>
  <si>
    <t xml:space="preserve">R52 chart 3 (p.26) — top-10 bodies 2023/2024/2025</t>
  </si>
  <si>
    <t xml:space="preserve">משרד העבודה 860/934/7,082 · תחבורה 2,081/1,759/2,298 · ביטוח לאומי 1,528/1,212/1,581 · רשות המסים 798/787/1,119 · רשות האוכלוסין 1,021/797/994 · חינוך 621/714/940 · משטרה 673/720/932 · בריאות 616/594/687 · ירושלים 522/455/609 · משפטים 477/507/550</t>
  </si>
  <si>
    <t xml:space="preserve">2025: 91% / 26% / 7% / 10% / 33% / 35% / 43% …</t>
  </si>
  <si>
    <t xml:space="preserve">26 (PDF-verified)</t>
  </si>
  <si>
    <t xml:space="preserve">המוסד לביטוח לאומי (appendix)</t>
  </si>
  <si>
    <t xml:space="preserve">1,566 / 1,677</t>
  </si>
  <si>
    <t xml:space="preserve">7.1% (36 of 505 decided)</t>
  </si>
  <si>
    <t xml:space="preserve">136 (PDF-verified; column semantics not decoded)</t>
  </si>
  <si>
    <t xml:space="preserve">משרד הביטחון (appendix)</t>
  </si>
  <si>
    <t xml:space="preserve">267 / 286</t>
  </si>
  <si>
    <t xml:space="preserve">48% (36 of 75)</t>
  </si>
  <si>
    <t xml:space="preserve">130 (PDF-verified)</t>
  </si>
  <si>
    <t xml:space="preserve">— of which אגף שיקום נכים</t>
  </si>
  <si>
    <t xml:space="preserve">191 / 211</t>
  </si>
  <si>
    <t xml:space="preserve">53.2% (33 of 62)</t>
  </si>
  <si>
    <t xml:space="preserve">משרד הרווחה והביטחון החברתי (appendix)</t>
  </si>
  <si>
    <t xml:space="preserve">210 / 210</t>
  </si>
  <si>
    <t xml:space="preserve">24.1% (7 of 29)</t>
  </si>
  <si>
    <t xml:space="preserve">134 (PDF-verified)</t>
  </si>
  <si>
    <t xml:space="preserve">עיריית ירושלים (appendix)</t>
  </si>
  <si>
    <t xml:space="preserve">588 / 608</t>
  </si>
  <si>
    <t xml:space="preserve">34.1% (46 of 135)</t>
  </si>
  <si>
    <t xml:space="preserve">143 (PDF-verified)</t>
  </si>
  <si>
    <t xml:space="preserve">משרתי מילואים (topic)</t>
  </si>
  <si>
    <t xml:space="preserve">n/v (the '211' quoted in press matches אגף שיקום נכים above)</t>
  </si>
  <si>
    <t xml:space="preserve">9, 48 (section exists; count not in text)</t>
  </si>
  <si>
    <t xml:space="preserve">1/2023–11/2025</t>
  </si>
  <si>
    <t xml:space="preserve">ארנונה (special report)</t>
  </si>
  <si>
    <t xml:space="preserve">40%; discounts/exemptions 41.8% of complaints, 41.6% justified; ₪376,508 recovered</t>
  </si>
  <si>
    <t xml:space="preserve">12–17</t>
  </si>
  <si>
    <t xml:space="preserve">2019–mid-2022</t>
  </si>
  <si>
    <t xml:space="preserve">Complaints by people 65+ (special report)</t>
  </si>
  <si>
    <t xml:space="preserve">41.5% (2021, service complaints); 13.2% Holocaust survivors (p.20); by body p.15: משטרה 6,128 · רשות המסים 3,928 · עמידר 2,919 · משרד הבריאות 2,145 · דואר 1,857 · תחבורה 1,133 · ביטוח לאומי 988</t>
  </si>
  <si>
    <t xml:space="preserve">https://library.mevaker.gov.il/sites/DigitalLibrary/Documents/2023/2023-NTZ-3rd-Age.pdf</t>
  </si>
  <si>
    <t xml:space="preserve">11, 15, 20 (PDF-verified)</t>
  </si>
  <si>
    <t xml:space="preserve">Notes: n/s = not shown (below the 33% threshold chart); n/v = not visible in fetched pages (appendices with full per-body tables were beyond the ~25-page fetch limit: R50 pp.226–243, R51 pp.104–122, R52 pp.43–46). RTL charts were decoded by the research agent and cross-checked against press releases and N12; treat as provisional until the PDFs are opened locally. Topic mix 2025 (R52 chart 5, p.29): public service 8,839 (29%); daycare subsidies 5,691 (19%); education 1,969; taxes 1,126; grants 1,118; health 1,078; benefits 983.</t>
  </si>
  <si>
    <t xml:space="preserve">Kol Zchut 2025 — top-20 topic areas (Hebrew site), page views and rank change vs 2024</t>
  </si>
  <si>
    <t xml:space="preserve">Site 2025: 25.6M visits · 11M unique users · 38M page views · 3.25M referrals to gov sites · 630K form clicks · chatbot ~700K questions/yr. Source: https://www.kolzchut.org.il/w/he/images/5/50/%D7%9B%D7%9C_%D7%96%D7%9B%D7%95%D7%AA_-_%D7%A1%D7%99%D7%9B%D7%95%D7%9D_2025.pdf</t>
  </si>
  <si>
    <t xml:space="preserve">Topic</t>
  </si>
  <si>
    <t xml:space="preserve">Views 2025</t>
  </si>
  <si>
    <t xml:space="preserve">Δ rank vs 2024</t>
  </si>
  <si>
    <t xml:space="preserve">Relevance to map rows</t>
  </si>
  <si>
    <t xml:space="preserve">תעסוקה וזכויות עובדים</t>
  </si>
  <si>
    <t xml:space="preserve">–</t>
  </si>
  <si>
    <t xml:space="preserve">מיסים</t>
  </si>
  <si>
    <t xml:space="preserve">tax benefits (out of window); arnona buried here</t>
  </si>
  <si>
    <t xml:space="preserve">אנשים עם מוגבלות</t>
  </si>
  <si>
    <t xml:space="preserve">veterans, adults w/ disabilities</t>
  </si>
  <si>
    <t xml:space="preserve">פנסיה וחסכון ארוך טווח</t>
  </si>
  <si>
    <t xml:space="preserve">retirees</t>
  </si>
  <si>
    <t xml:space="preserve">דיור ושיכון</t>
  </si>
  <si>
    <t xml:space="preserve">+1</t>
  </si>
  <si>
    <t xml:space="preserve">public housing; arnona</t>
  </si>
  <si>
    <t xml:space="preserve">בריאות ומחלות</t>
  </si>
  <si>
    <t xml:space="preserve">mental health</t>
  </si>
  <si>
    <t xml:space="preserve">חינוך</t>
  </si>
  <si>
    <t xml:space="preserve">+2</t>
  </si>
  <si>
    <t xml:space="preserve">מצב חירום</t>
  </si>
  <si>
    <t xml:space="preserve">−3</t>
  </si>
  <si>
    <t xml:space="preserve">evacuees, second circle</t>
  </si>
  <si>
    <t xml:space="preserve">הכנסה נמוכה וקשיים כלכליים</t>
  </si>
  <si>
    <t xml:space="preserve">+7</t>
  </si>
  <si>
    <t xml:space="preserve">income supplement, discounts</t>
  </si>
  <si>
    <t xml:space="preserve">עצמאים ובעלי עסקים</t>
  </si>
  <si>
    <t xml:space="preserve">+3</t>
  </si>
  <si>
    <t xml:space="preserve">self-employed reservists; small-business aid</t>
  </si>
  <si>
    <t xml:space="preserve">נשים</t>
  </si>
  <si>
    <t xml:space="preserve">−1</t>
  </si>
  <si>
    <t xml:space="preserve">זיקנה והזדקנות</t>
  </si>
  <si>
    <t xml:space="preserve">RETIREE CELL</t>
  </si>
  <si>
    <t xml:space="preserve">משפחה</t>
  </si>
  <si>
    <t xml:space="preserve">+8</t>
  </si>
  <si>
    <t xml:space="preserve">daycare subsidies</t>
  </si>
  <si>
    <t xml:space="preserve">צרכנות</t>
  </si>
  <si>
    <t xml:space="preserve">−2</t>
  </si>
  <si>
    <t xml:space="preserve">electricity discount</t>
  </si>
  <si>
    <t xml:space="preserve">מילואים</t>
  </si>
  <si>
    <t xml:space="preserve">−7</t>
  </si>
  <si>
    <t xml:space="preserve">reservist rows (1.5M, #8 in 2024)</t>
  </si>
  <si>
    <t xml:space="preserve">חובות</t>
  </si>
  <si>
    <t xml:space="preserve">אזרחות ותושבות</t>
  </si>
  <si>
    <t xml:space="preserve">נהיגה ותעבורה</t>
  </si>
  <si>
    <t xml:space="preserve">סוף החיים</t>
  </si>
  <si>
    <t xml:space="preserve">ילדים ונוער</t>
  </si>
  <si>
    <t xml:space="preserve">Top-10 individual pages 2025 (Hebrew)</t>
  </si>
  <si>
    <t xml:space="preserve">דמי הבראה</t>
  </si>
  <si>
    <t xml:space="preserve">שכר מינימום</t>
  </si>
  <si>
    <t xml:space="preserve">מדרגות מס הכנסה</t>
  </si>
  <si>
    <t xml:space="preserve">מענק עבודה (מס הכנסה שלילי)</t>
  </si>
  <si>
    <t xml:space="preserve">הגבלת רעש מדירות שכנים</t>
  </si>
  <si>
    <t xml:space="preserve">דמי אבטלה</t>
  </si>
  <si>
    <t xml:space="preserve">חובת ביטוח פנסיוני לעובדים</t>
  </si>
  <si>
    <t xml:space="preserve">הודעה מוקדמת להתפטרות</t>
  </si>
  <si>
    <t xml:space="preserve">קרן השתלמות</t>
  </si>
  <si>
    <t xml:space="preserve">נקודות זיכוי ממס הכנסה</t>
  </si>
  <si>
    <t xml:space="preserve">2024 (source: https://www.kolzchut.org.il/w/he/images/e/ec/%D7%9B%D7%9C-%D7%96%D7%9B%D7%95%D7%AA_-_%D7%A1%D7%99%D7%9B%D7%95%D7%9D_2024.pdf): #1 page = פורטל חרבות ברזל 770K; מילואים topic 1.5M (rank 8); מצב חירום 2.6M; emergency portal's most-viewed page: 'תשלום עבור שירות מילואים'; BTL calculator clicks 4M (+23%).</t>
  </si>
  <si>
    <t xml:space="preserve">Russian-site top pages 2025 are BTL old-age benefits: זכותון קצבת זקנה 43.4K; מענק עבודה 40.5K; תוספת השלמת הכנסה לקצבת זקנה 32.7K; קצבת נכות כללית 18.4K.</t>
  </si>
  <si>
    <t xml:space="preserve">Not published with any count: ארנונה, סל הבריאות/ועדת חריגים, גמלת סיעוד, טופס 17. Live per-page stats (Special:PopularPages, API) are blocked by robots.txt — not bypassed.</t>
  </si>
  <si>
    <t xml:space="preserve">Google Trends: blocked at the sandbox proxy (403 on CONNECT) — no data; run pytrends from an unrestricted machine if wanted (script in scratchpad).</t>
  </si>
  <si>
    <t xml:space="preserve">Report / chapter (HE)</t>
  </si>
  <si>
    <t xml:space="preserve">Type</t>
  </si>
  <si>
    <t xml:space="preserve">Published</t>
  </si>
  <si>
    <t xml:space="preserve">Topic / population</t>
  </si>
  <si>
    <t xml:space="preserve">URL confidence</t>
  </si>
  <si>
    <t xml:space="preserve">אתגרים ויעדים במתן שירות לבני הגיל השלישי – לקחים מבירור תלונות</t>
  </si>
  <si>
    <t xml:space="preserve">Ombudsman special</t>
  </si>
  <si>
    <t xml:space="preserve">Feb 2023</t>
  </si>
  <si>
    <t xml:space="preserve">Elderly 65+: bureaucratic/digital barriers, low awareness; 13% Holocaust survivors</t>
  </si>
  <si>
    <t xml:space="preserve">משטרה, רשות המיסים, עמידר, משרד הבריאות, ביטוח לאומי</t>
  </si>
  <si>
    <t xml:space="preserve">V</t>
  </si>
  <si>
    <t xml:space="preserve">השמת ילדים בסיכון בפנימיות, באומנה ובאימוץ</t>
  </si>
  <si>
    <t xml:space="preserve">Annual May 2023</t>
  </si>
  <si>
    <t xml:space="preserve">May 2023</t>
  </si>
  <si>
    <t xml:space="preserve">Children at risk: 87% in foster care without care plans</t>
  </si>
  <si>
    <t xml:space="preserve">משרד הרווחה</t>
  </si>
  <si>
    <t xml:space="preserve">https://library.mevaker.gov.il/sites/DigitalLibrary/Documents/2023/2023.5/2023.5-104-Omna-Imutz.pdf</t>
  </si>
  <si>
    <t xml:space="preserve">S</t>
  </si>
  <si>
    <t xml:space="preserve">שירותי בריאות השן</t>
  </si>
  <si>
    <t xml:space="preserve">Public dental entitlement</t>
  </si>
  <si>
    <t xml:space="preserve">https://library.mevaker.gov.il/sites/DigitalLibrary/Documents/2023/2023.5/2023.5-207-Dental-Health.pdf</t>
  </si>
  <si>
    <t xml:space="preserve">המרכז לגביית קנסות</t>
  </si>
  <si>
    <t xml:space="preserve">Service to debtors</t>
  </si>
  <si>
    <t xml:space="preserve">רשות האכיפה והגבייה</t>
  </si>
  <si>
    <t xml:space="preserve">https://library.mevaker.gov.il/sites/DigitalLibrary/Documents/2023/2023.5/2023.5-301-Achifa-Gviya-Taktzir.pdf</t>
  </si>
  <si>
    <t xml:space="preserve">נציב תלונות הציבור – דוח שנתי 49 (2022)</t>
  </si>
  <si>
    <t xml:space="preserve">Ombudsman annual</t>
  </si>
  <si>
    <t xml:space="preserve">Jun 2023</t>
  </si>
  <si>
    <t xml:space="preserve">20,938 complaints, 44% justified</t>
  </si>
  <si>
    <t xml:space="preserve">כלל הגופים</t>
  </si>
  <si>
    <t xml:space="preserve">https://library.mevaker.gov.il/sites/DigitalLibrary/Documents/2023/NTZ-49/NTZ-49-Full-Report.pdf</t>
  </si>
  <si>
    <t xml:space="preserve">ארנונה – אסדרה, הטלה ומתן הנחות</t>
  </si>
  <si>
    <t xml:space="preserve">Annual שלטון מקומי</t>
  </si>
  <si>
    <t xml:space="preserve">Jul 2023</t>
  </si>
  <si>
    <t xml:space="preserve">Arnona discounts ₪8.8B/yr; no procedures; irregular NII feed</t>
  </si>
  <si>
    <t xml:space="preserve">משרד הפנים + 6 רשויות</t>
  </si>
  <si>
    <t xml:space="preserve">https://library.mevaker.gov.il/sites/DigitalLibrary/Documents/2023/2023-Shilton/2023-Shilton-103-Arnona-Asdara.pdf</t>
  </si>
  <si>
    <t xml:space="preserve">ארנונה – השירות לתושב</t>
  </si>
  <si>
    <t xml:space="preserve">25,200 abandoned calls; 34% online requests late</t>
  </si>
  <si>
    <t xml:space="preserve">6 רשויות</t>
  </si>
  <si>
    <t xml:space="preserve">https://library.mevaker.gov.il/sites/DigitalLibrary/Documents/2023/2023-Shilton/2023-Shilton-104-Arnona-Sherut.pdf</t>
  </si>
  <si>
    <t xml:space="preserve">השירותים לאנשים עם מוגבלות – מרכז מול פריפריה</t>
  </si>
  <si>
    <t xml:space="preserve">1.6M disabled; 23% of authorities supply all services</t>
  </si>
  <si>
    <t xml:space="preserve">משרד הרווחה + 6 רשויות</t>
  </si>
  <si>
    <t xml:space="preserve">טיפול הרשויות המקומיות באזרחים הוותיקים</t>
  </si>
  <si>
    <t xml:space="preserve">42% unaware of services; arnona 30% vs 25%</t>
  </si>
  <si>
    <t xml:space="preserve">משרד הרווחה, שוויון חברתי + 9 רשויות</t>
  </si>
  <si>
    <t xml:space="preserve">השירות לציבור בחברת החשמל</t>
  </si>
  <si>
    <t xml:space="preserve">Annual 74א</t>
  </si>
  <si>
    <t xml:space="preserve">Jan 2024</t>
  </si>
  <si>
    <t xml:space="preserve">158,000 of 471,000 eligible don't get the discount</t>
  </si>
  <si>
    <t xml:space="preserve">חח"י, רשות החשמל</t>
  </si>
  <si>
    <t xml:space="preserve">תאגידי המים והביוב – ביקורת מעקב</t>
  </si>
  <si>
    <t xml:space="preserve">₪225–243M water relief unused 2015–21</t>
  </si>
  <si>
    <t xml:space="preserve">רשות המים, משרד הפנים</t>
  </si>
  <si>
    <t xml:space="preserve">רפורמת 'נפש אחת' – נכי צה"ל</t>
  </si>
  <si>
    <t xml:space="preserve">74–80% unaware; 30% budget execution</t>
  </si>
  <si>
    <t xml:space="preserve">נציב תלונות הציבור – דוח שנתי 50 (2023)</t>
  </si>
  <si>
    <t xml:space="preserve">Jun 2024</t>
  </si>
  <si>
    <t xml:space="preserve">22,356 complaints; ₪33.4M recovered</t>
  </si>
  <si>
    <t xml:space="preserve">https://library.mevaker.gov.il/sites/DigitalLibrary/Documents/2024/2024-NTZ-50.pdf</t>
  </si>
  <si>
    <t xml:space="preserve">טיפול משרד הרווחה בבוגרים עם מוגבלות</t>
  </si>
  <si>
    <t xml:space="preserve">Annual 75א ch.1</t>
  </si>
  <si>
    <t xml:space="preserve">Jul 2024</t>
  </si>
  <si>
    <t xml:space="preserve">3,700 (37%) get no service</t>
  </si>
  <si>
    <t xml:space="preserve">משרד הרווחה, ביטוח לאומי, משרד החינוך</t>
  </si>
  <si>
    <t xml:space="preserve">דיור ציבורי – ביקורת מעקב</t>
  </si>
  <si>
    <t xml:space="preserve">4,300 waiting 35 months</t>
  </si>
  <si>
    <t xml:space="preserve">משרד השיכון, עמידר</t>
  </si>
  <si>
    <t xml:space="preserve">הנגשת מבנים ושירותים לאנשים עם מוגבלות</t>
  </si>
  <si>
    <t xml:space="preserve">72% of schools inaccessible</t>
  </si>
  <si>
    <t xml:space="preserve">7 רשויות</t>
  </si>
  <si>
    <t xml:space="preserve">https://library.mevaker.gov.il/sites/DigitalLibrary/Documents/2024/Shilton/2024-Shilton-205-Accessibility.pdf</t>
  </si>
  <si>
    <t xml:space="preserve">שילוב יוצאי אתיופיה ברשויות</t>
  </si>
  <si>
    <t xml:space="preserve">₪136M of ₪203M used</t>
  </si>
  <si>
    <t xml:space="preserve">רשויות, משרד הרווחה</t>
  </si>
  <si>
    <t xml:space="preserve">https://library.mevaker.gov.il/sites/DigitalLibrary/Documents/2024/Shilton/2024-Shilton-ALL-ABSTRACTS-HE.pdf</t>
  </si>
  <si>
    <t xml:space="preserve">N (abstracts book)</t>
  </si>
  <si>
    <t xml:space="preserve">הנגשת התחבורה הציבורית – מעקב</t>
  </si>
  <si>
    <t xml:space="preserve">Annual 75א ch.2</t>
  </si>
  <si>
    <t xml:space="preserve">Nov 2024</t>
  </si>
  <si>
    <t xml:space="preserve">2.6% of intercity lines accessible</t>
  </si>
  <si>
    <t xml:space="preserve">https://library.mevaker.gov.il/sites/DigitalLibrary/Documents/2024/2024.11-75A-PartB/2024.11-75A-PartB-204-Hangasha.pdf</t>
  </si>
  <si>
    <t xml:space="preserve">זמני המתנה לרפואת מומחים</t>
  </si>
  <si>
    <t xml:space="preserve">Elderly wait 55–62 days</t>
  </si>
  <si>
    <t xml:space="preserve">משרד הבריאות, קופות</t>
  </si>
  <si>
    <t xml:space="preserve">https://library.mevaker.gov.il/sites/DigitalLibrary/Documents/2024/2024.11-75A-PartB/2024.11-75A-PartB-601-Medical-Specialists.pdf</t>
  </si>
  <si>
    <t xml:space="preserve">חדלות פירעון ושיקום כלכלי</t>
  </si>
  <si>
    <t xml:space="preserve">&lt;3% get financial-literacy training</t>
  </si>
  <si>
    <t xml:space="preserve">https://library.mevaker.gov.il/sites/DigitalLibrary/Documents/2024/2024.11-75A-PartB/2024.11-75A-PartB-602-Ministry-of-Justice.pdf</t>
  </si>
  <si>
    <t xml:space="preserve">השירות לציבור בגופים ציבוריים ('זכות לתת שירות' 1)</t>
  </si>
  <si>
    <t xml:space="preserve">34,259 service complaints 2019–24, 57.9% justified</t>
  </si>
  <si>
    <t xml:space="preserve">8 גופים</t>
  </si>
  <si>
    <t xml:space="preserve">https://library.mevaker.gov.il/sites/DigitalLibrary/Documents/2024/2024-Public-Service.pdf</t>
  </si>
  <si>
    <t xml:space="preserve">בריאות הנפש בעקבות 7.10</t>
  </si>
  <si>
    <t xml:space="preserve">Special</t>
  </si>
  <si>
    <t xml:space="preserve">Feb 2025</t>
  </si>
  <si>
    <t xml:space="preserve">~3M with symptoms; 11% of evacuees treated</t>
  </si>
  <si>
    <t xml:space="preserve">מרכזי החוסן</t>
  </si>
  <si>
    <t xml:space="preserve">15,750 treated</t>
  </si>
  <si>
    <t xml:space="preserve">משרד הבריאות, משרד הרווחה</t>
  </si>
  <si>
    <t xml:space="preserve">https://library.mevaker.gov.il/sites/DigitalLibrary/Documents/2025/Swords-of-Iron-1/2025-Swords-of-Iron-200.pdf</t>
  </si>
  <si>
    <t xml:space="preserve">הסיוע לנפגעי פעולות איבה</t>
  </si>
  <si>
    <t xml:space="preserve">61,100 recognised; ~180,000 second circle</t>
  </si>
  <si>
    <t xml:space="preserve">ביטוח לאומי, משרד האוצר, משרד הביטחון</t>
  </si>
  <si>
    <t xml:space="preserve">השירות לציבור ברמ"י – מעקב</t>
  </si>
  <si>
    <t xml:space="preserve">Annual 75ג</t>
  </si>
  <si>
    <t xml:space="preserve">May 2025</t>
  </si>
  <si>
    <t xml:space="preserve">Service score 54/100</t>
  </si>
  <si>
    <t xml:space="preserve">רמ"י</t>
  </si>
  <si>
    <t xml:space="preserve">https://library.mevaker.gov.il/sites/DigitalLibrary/Documents/2025/2025-05/2025-05-303-RMI.pdf</t>
  </si>
  <si>
    <t xml:space="preserve">הסיוע הכלכלי לעסקים קטנים</t>
  </si>
  <si>
    <t xml:space="preserve">Jun 2025</t>
  </si>
  <si>
    <t xml:space="preserve">60k claims unprocessed; ₪1.27B fees</t>
  </si>
  <si>
    <t xml:space="preserve">רשות המיסים, משרד הכלכלה</t>
  </si>
  <si>
    <t xml:space="preserve">V (תקציר)</t>
  </si>
  <si>
    <t xml:space="preserve">יישובי הצפון – המישור האזרחי-כלכלי</t>
  </si>
  <si>
    <t xml:space="preserve">60k entitled to housing grants</t>
  </si>
  <si>
    <t xml:space="preserve">משרד רה"ם, משרד האוצר</t>
  </si>
  <si>
    <t xml:space="preserve">https://fs.knesset.gov.il/25/Committees/25_cs_bg_7940643.pdf</t>
  </si>
  <si>
    <t xml:space="preserve">N (Knesset mirror)</t>
  </si>
  <si>
    <t xml:space="preserve">נציב תלונות הציבור – דוח שנתי 51 (2024)</t>
  </si>
  <si>
    <t xml:space="preserve">Jul 2025</t>
  </si>
  <si>
    <t xml:space="preserve">21,592 complaints; 3,872 war-linked</t>
  </si>
  <si>
    <t xml:space="preserve">אוכלוסיות מיוחדות בשעת חירום ברשויות</t>
  </si>
  <si>
    <t xml:space="preserve">70% got no municipal response</t>
  </si>
  <si>
    <t xml:space="preserve">משרד הרווחה, משרד הבריאות + 5 רשויות</t>
  </si>
  <si>
    <t xml:space="preserve">https://library.mevaker.gov.il/sites/DigitalLibrary/Documents/2025/Shilton/2025-Shilton-101-Special.pdf</t>
  </si>
  <si>
    <t xml:space="preserve">השירות הפסיכולוגי-חינוכי</t>
  </si>
  <si>
    <t xml:space="preserve">61.4% of parents never approached שפ"ח</t>
  </si>
  <si>
    <t xml:space="preserve">https://library.mevaker.gov.il/sites/DigitalLibrary/Documents/2025/Shilton/2025-Shilton-102-Psy-Edu.pdf</t>
  </si>
  <si>
    <t xml:space="preserve">מענה על פניות הציבור ברשויות</t>
  </si>
  <si>
    <t xml:space="preserve">58.5% of Arab towns lack service centres</t>
  </si>
  <si>
    <t xml:space="preserve">4 רשויות, משרד הפנים</t>
  </si>
  <si>
    <t xml:space="preserve">https://library.mevaker.gov.il/sites/DigitalLibrary/Documents/2025/Shilton/2025-Shilton-104-Response.pdf</t>
  </si>
  <si>
    <t xml:space="preserve">תלונות הציבור במבצע עם כלביא</t>
  </si>
  <si>
    <t xml:space="preserve">Sep 2025</t>
  </si>
  <si>
    <t xml:space="preserve">Evacuee grants unpaid; 303 files</t>
  </si>
  <si>
    <t xml:space="preserve">רשות המיסים, ביטוח לאומי</t>
  </si>
  <si>
    <t xml:space="preserve">https://library.mevaker.gov.il/sites/DigitalLibrary/Documents/2025/2025-Rising-Lion-Ombudsman.pdf</t>
  </si>
  <si>
    <t xml:space="preserve">הניהול הממשלתי של התחום האזרחי במלחמה</t>
  </si>
  <si>
    <t xml:space="preserve">48 hotlines by 33 bodies</t>
  </si>
  <si>
    <t xml:space="preserve">משרד רה"ם</t>
  </si>
  <si>
    <t xml:space="preserve">https://library.mevaker.gov.il/sites/DigitalLibrary/Documents/2025/Government-Management/2025-Government-Management.pdf</t>
  </si>
  <si>
    <t xml:space="preserve">מיסוי מקרקעין – שירות</t>
  </si>
  <si>
    <t xml:space="preserve">Annual 76א</t>
  </si>
  <si>
    <t xml:space="preserve">Oct 2025</t>
  </si>
  <si>
    <t xml:space="preserve">73% of correction requests &gt;1 yr</t>
  </si>
  <si>
    <t xml:space="preserve">רשות המיסים</t>
  </si>
  <si>
    <t xml:space="preserve">https://library.mevaker.gov.il/sites/DigitalLibrary/Documents/2025/2025-10/2025.10-201-Nadlan.pdf</t>
  </si>
  <si>
    <t xml:space="preserve">היבטים במענה למשרתי המילואים – תגמול וזכויות בעבודה</t>
  </si>
  <si>
    <t xml:space="preserve">Nov 2025</t>
  </si>
  <si>
    <t xml:space="preserve">318k mobilised; 1/3 on minimum; 542 rights cases</t>
  </si>
  <si>
    <t xml:space="preserve">ביטוח לאומי, משרד הביטחון, משרד העבודה</t>
  </si>
  <si>
    <t xml:space="preserve">מענה ההשכלה הגבוהה לסטודנטים במילואים</t>
  </si>
  <si>
    <t xml:space="preserve">12% didn't refund tuition</t>
  </si>
  <si>
    <t xml:space="preserve">מל"ג/ות"ת</t>
  </si>
  <si>
    <t xml:space="preserve">https://library.mevaker.gov.il/sites/DigitalLibrary/Documents/2025/Reservists/2025-Reservists-102-Higher%20Education.pdf</t>
  </si>
  <si>
    <t xml:space="preserve">מקבץ – מצבי חירום (מיגון; פיצויים)</t>
  </si>
  <si>
    <t xml:space="preserve">Special compilation</t>
  </si>
  <si>
    <t xml:space="preserve">Jan 2026</t>
  </si>
  <si>
    <t xml:space="preserve">3.2M without adequate shelter</t>
  </si>
  <si>
    <t xml:space="preserve">פיקוד העורף, רשות המיסים</t>
  </si>
  <si>
    <t xml:space="preserve">https://library.mevaker.gov.il/sites/DigitalLibrary/Documents/2026/Emergency/2026-Emergency-All-Reports-HE.pdf</t>
  </si>
  <si>
    <t xml:space="preserve">תלונות הציבור בנושא ארנונה</t>
  </si>
  <si>
    <t xml:space="preserve">Feb 2026</t>
  </si>
  <si>
    <t xml:space="preserve">937 complaints; 41.8% on discounts</t>
  </si>
  <si>
    <t xml:space="preserve">רשויות מקומיות, משרד הפנים</t>
  </si>
  <si>
    <t xml:space="preserve">פינוי אוכלוסייה וקליטתה – קליטה</t>
  </si>
  <si>
    <t xml:space="preserve">130k evacuees; ₪7.1B</t>
  </si>
  <si>
    <t xml:space="preserve">רח"ל, משרד הפנים</t>
  </si>
  <si>
    <t xml:space="preserve">https://library.mevaker.gov.il/sites/DigitalLibrary/Documents/2026/Evacuation/2026-Evacuation-101.pdf</t>
  </si>
  <si>
    <t xml:space="preserve">פינוי – שירותים למפונים</t>
  </si>
  <si>
    <t xml:space="preserve">Basic needs via donations</t>
  </si>
  <si>
    <t xml:space="preserve">רח"ל, 14 רשויות</t>
  </si>
  <si>
    <t xml:space="preserve">https://library.mevaker.gov.il/sites/DigitalLibrary/Documents/2026/Evacuation/2026-Evacuation-208.pdf</t>
  </si>
  <si>
    <t xml:space="preserve">פינוי – חינוך ורווחה</t>
  </si>
  <si>
    <t xml:space="preserve">1,300 pupils unplaced; 3% of at-risk teens served</t>
  </si>
  <si>
    <t xml:space="preserve">משרד החינוך, משרד הרווחה</t>
  </si>
  <si>
    <t xml:space="preserve">https://library.mevaker.gov.il/sites/DigitalLibrary/Documents/2026/Evacuation/2026-Evacuation-All-Abstracts.pdf</t>
  </si>
  <si>
    <t xml:space="preserve">V (abstracts)</t>
  </si>
  <si>
    <t xml:space="preserve">פינוי – ניהול המידע</t>
  </si>
  <si>
    <t xml:space="preserve">No full evacuee registry</t>
  </si>
  <si>
    <t xml:space="preserve">משרד הפנים, רח"ל</t>
  </si>
  <si>
    <t xml:space="preserve">https://library.mevaker.gov.il/sites/DigitalLibrary/Documents/2026/Evacuation/2026-Evacuation-301.pdf</t>
  </si>
  <si>
    <t xml:space="preserve">שיקום הנגב המערבי (תקומה)</t>
  </si>
  <si>
    <t xml:space="preserve">₪16.8M of ₪200M grants used</t>
  </si>
  <si>
    <t xml:space="preserve">מנהלת תקומה</t>
  </si>
  <si>
    <t xml:space="preserve">https://library.mevaker.gov.il/sites/DigitalLibrary/Documents/2026/Negev/2026-Negev-ALL-Report-HE.pdf</t>
  </si>
  <si>
    <t xml:space="preserve">נציב תלונות הציבור – דוח שנתי 52 (2025)</t>
  </si>
  <si>
    <t xml:space="preserve">May 2026</t>
  </si>
  <si>
    <t xml:space="preserve">30,366 complaints; daycare 6,931 (90.8%)</t>
  </si>
  <si>
    <t xml:space="preserve">משרד העבודה, ביטוח לאומי</t>
  </si>
  <si>
    <t xml:space="preserve">'זכות לתת שירות' – מעקב</t>
  </si>
  <si>
    <t xml:space="preserve">Jun 2026</t>
  </si>
  <si>
    <t xml:space="preserve">Service score 70.8→73.9</t>
  </si>
  <si>
    <t xml:space="preserve">7 גופים</t>
  </si>
  <si>
    <t xml:space="preserve">https://library.mevaker.gov.il/sites/DigitalLibrary/Documents/2026/Public-Service/2026-Public-Service.pdf</t>
  </si>
  <si>
    <t xml:space="preserve">בשיבה טובה? – הביטוח הסיעודי</t>
  </si>
  <si>
    <t xml:space="preserve">392k recipients; 97% assessed without home visit</t>
  </si>
  <si>
    <t xml:space="preserve">ביטוח לאומי, משרד הבריאות</t>
  </si>
  <si>
    <t xml:space="preserve">https://library.mevaker.gov.il/sites/DigitalLibrary/Documents/2026/Population-Aging/2026-Population-Aging-102.pdf</t>
  </si>
  <si>
    <t xml:space="preserve">בשיבה טובה? – רווחת האוכלוסייה המזדקנת</t>
  </si>
  <si>
    <t xml:space="preserve">33% invited to NII info days, 4% attended; 434k no retirement prep</t>
  </si>
  <si>
    <t xml:space="preserve">משרד הרווחה, שוויון חברתי, ביטוח לאומי</t>
  </si>
  <si>
    <t xml:space="preserve">כלכלת בית – שוק המשכנתאות</t>
  </si>
  <si>
    <t xml:space="preserve">Special (economic)</t>
  </si>
  <si>
    <t xml:space="preserve">Assistance programmes</t>
  </si>
  <si>
    <t xml:space="preserve">בנק ישראל, משרד האוצר</t>
  </si>
  <si>
    <t xml:space="preserve">https://library.mevaker.gov.il/sites/DigitalLibrary/Documents/2026/Economic-Report/2026-Economic-Report-201.pdf</t>
  </si>
  <si>
    <t xml:space="preserve">פצע פתוח – השיקום הרפואי של פצועי המלחמה</t>
  </si>
  <si>
    <t xml:space="preserve">~7,000 recognition applications pending (agent-reported)</t>
  </si>
  <si>
    <t xml:space="preserve">אגף השיקום, ביטוח לאומי, משרד הבריאות</t>
  </si>
  <si>
    <t xml:space="preserve">זנות וסחר בבני אדם – הגנה על קורבנות</t>
  </si>
  <si>
    <t xml:space="preserve">Jul 2026</t>
  </si>
  <si>
    <t xml:space="preserve">Victim services insufficient</t>
  </si>
  <si>
    <t xml:space="preserve">משרד הרווחה, משרד המשפטים</t>
  </si>
  <si>
    <t xml:space="preserve">https://library.mevaker.gov.il/sites/DigitalLibrary/Documents/2026/Prostitution-and-Human-Trafficking/2026-Prostitution-and-Human-Trafficking.pdf</t>
  </si>
  <si>
    <t xml:space="preserve">Confidence: V = URL taken from a fetched library page/PDF; S = URL seen only in a search snippet; N = PDF URL not located. Excluded as off-topic after TOC check: Feb 2023 &amp; Dec 2025 (defence), May 2024, May 2026 annual, 'הדרום הפרוע', 'נתונים להשפעה', 'מעון לדאגה', Jun 2026 שלטון מקומי. Library search pages are JS-only; enumeration was done via publication pages, chapter pages, abstracts books and newsroom releases (list in Sources).</t>
  </si>
  <si>
    <t xml:space="preserve">URL / detail</t>
  </si>
  <si>
    <t xml:space="preserve">Comptroller newsroom — reservists report (18.11.2025)</t>
  </si>
  <si>
    <t xml:space="preserve">https://www.mevaker.gov.il/newsroom/2025-11-18-special-report</t>
  </si>
  <si>
    <t xml:space="preserve">Comptroller newsroom — arnona Ombudsman report (3.2.2026)</t>
  </si>
  <si>
    <t xml:space="preserve">https://www.mevaker.gov.il/newsroom/2026-02-03-arnona</t>
  </si>
  <si>
    <t xml:space="preserve">Ombudsman press releases 2023 / 2024 / 2025 reports</t>
  </si>
  <si>
    <t xml:space="preserve">https://www.mevaker.gov.il/newsroom/2024-06-24 | https://www.mevaker.gov.il/newsroom/2025-07-01-ntz | https://www.mevaker.gov.il/newsroom/2026-05-19-ombudsman-annual-report</t>
  </si>
  <si>
    <t xml:space="preserve">Calcalist — 4,400 self-employed reservists / ₪37M</t>
  </si>
  <si>
    <t xml:space="preserve">https://www.calcalist.co.il/local_news/article/bkk2z6ulzg</t>
  </si>
  <si>
    <t xml:space="preserve">Kol Zchut summaries 2025 / 2024</t>
  </si>
  <si>
    <t xml:space="preserve">https://www.kolzchut.org.il/w/he/images/5/50/%D7%9B%D7%9C_%D7%96%D7%9B%D7%95%D7%AA_-_%D7%A1%D7%99%D7%9B%D7%95%D7%9D_2025.pdf | https://www.kolzchut.org.il/w/he/images/e/ec/%D7%9B%D7%9C-%D7%96%D7%9B%D7%95%D7%AA_-_%D7%A1%D7%99%D7%9B%D7%95%D7%9D_2024.pdf</t>
  </si>
  <si>
    <t xml:space="preserve">Kol Zchut about page (13M users 2025)</t>
  </si>
  <si>
    <t xml:space="preserve">https://www.kolzchut.org.il/he/כל_זכות:אודות</t>
  </si>
  <si>
    <t xml:space="preserve">Library publication pages used</t>
  </si>
  <si>
    <t xml:space="preserve">/Pages/Publications/ 890, 893, 892, 899, 907, 923, 922, 937, 975, 921, 1069, 1220, 1261, 1461, 1663, 2026, 2070, 2144, 2154, 2155, 2157</t>
  </si>
  <si>
    <t xml:space="preserve">Library chapter-page ID series used</t>
  </si>
  <si>
    <t xml:space="preserve">/Pages/Reports/ 7650, 7698, 7746, 7786, 7845, 8242, 8792, 9139, 9194, 9561, 10387, 10572, 10593, 10606, 10607, 10630</t>
  </si>
  <si>
    <t xml:space="preserve">Blocked from sandbox</t>
  </si>
  <si>
    <t xml:space="preserve">curl/pytrends to library.mevaker.gov.il, fs.knesset.gov.il, trends.google.com (proxy 403); Kol Zchut Special pages &amp; API (robots.txt, not bypassed)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</si>
</sst>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46"/>
    <col collapsed="false" customWidth="true" hidden="false" outlineLevel="0" max="7" min="7" style="0" width="26"/>
    <col collapsed="false" customWidth="true" hidden="false" outlineLevel="0" max="10" min="8" style="0" width="9"/>
    <col collapsed="false" customWidth="true" hidden="false" outlineLevel="0" max="11" min="11" style="0" width="12"/>
    <col collapsed="false" customWidth="true" hidden="false" outlineLevel="0" max="12" min="12" style="0" width="6"/>
    <col collapsed="false" customWidth="true" hidden="false" outlineLevel="0" max="13" min="13" style="0" width="34"/>
    <col collapsed="false" customWidth="true" hidden="false" outlineLevel="0" max="14" min="14" style="0" width="14"/>
    <col collapsed="false" customWidth="true" hidden="false" outlineLevel="0" max="15" min="15" style="0" width="40"/>
    <col collapsed="false" customWidth="true" hidden="false" outlineLevel="0" max="16" min="16" style="0" width="30"/>
    <col collapsed="false" customWidth="true" hidden="false" outlineLevel="0" max="17" min="17" style="0" width="36"/>
    <col collapsed="false" customWidth="true" hidden="false" outlineLevel="0" max="18" min="18" style="0" width="30"/>
    <col collapsed="false" customWidth="true" hidden="false" outlineLevel="0" max="19" min="19" style="0" width="16"/>
    <col collapsed="false" customWidth="true" hidden="false" outlineLevel="0" max="21" min="20" style="0" width="4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91" hidden="false" customHeight="false" outlineLevel="0" collapsed="false">
      <c r="A2" s="2" t="n">
        <v>1</v>
      </c>
      <c r="B2" s="3" t="s">
        <v>21</v>
      </c>
      <c r="C2" s="4" t="n">
        <v>432572</v>
      </c>
      <c r="D2" s="3" t="s">
        <v>22</v>
      </c>
      <c r="E2" s="3" t="s">
        <v>23</v>
      </c>
      <c r="F2" s="3" t="s">
        <v>24</v>
      </c>
      <c r="G2" s="3" t="s">
        <v>25</v>
      </c>
      <c r="H2" s="5" t="s">
        <v>26</v>
      </c>
      <c r="I2" s="5" t="n">
        <v>4</v>
      </c>
      <c r="J2" s="2" t="n">
        <f aca="false">IFERROR(INDEX('Legend &amp; Method'!$C$11:$C$14,MATCH(H2,'Legend &amp; Method'!$B$11:$B$14,0)),"")</f>
        <v>1</v>
      </c>
      <c r="K2" s="4" t="n">
        <f aca="false">IF(ISNUMBER(C2),C2*J2*I2,"n/q")</f>
        <v>1730288</v>
      </c>
      <c r="L2" s="2" t="n">
        <f aca="false">IF(ISNUMBER(K2),RANK(K2,$K$2:$K$23),"—")</f>
        <v>1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 t="s">
        <v>33</v>
      </c>
      <c r="T2" s="3" t="s">
        <v>34</v>
      </c>
      <c r="U2" s="3" t="s">
        <v>35</v>
      </c>
    </row>
    <row r="3" customFormat="false" ht="57.45" hidden="false" customHeight="false" outlineLevel="0" collapsed="false">
      <c r="A3" s="2" t="n">
        <v>2</v>
      </c>
      <c r="B3" s="3" t="s">
        <v>36</v>
      </c>
      <c r="C3" s="4" t="n">
        <v>434000</v>
      </c>
      <c r="D3" s="3" t="s">
        <v>37</v>
      </c>
      <c r="E3" s="3" t="s">
        <v>23</v>
      </c>
      <c r="F3" s="3" t="s">
        <v>38</v>
      </c>
      <c r="G3" s="3" t="s">
        <v>39</v>
      </c>
      <c r="H3" s="5" t="s">
        <v>26</v>
      </c>
      <c r="I3" s="5" t="n">
        <v>2</v>
      </c>
      <c r="J3" s="2" t="n">
        <f aca="false">IFERROR(INDEX('Legend &amp; Method'!$C$11:$C$14,MATCH(H3,'Legend &amp; Method'!$B$11:$B$14,0)),"")</f>
        <v>1</v>
      </c>
      <c r="K3" s="4" t="n">
        <f aca="false">IF(ISNUMBER(C3),C3*J3*I3,"n/q")</f>
        <v>868000</v>
      </c>
      <c r="L3" s="2" t="n">
        <f aca="false">IF(ISNUMBER(K3),RANK(K3,$K$2:$K$23),"—")</f>
        <v>2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44</v>
      </c>
      <c r="S3" s="3" t="s">
        <v>45</v>
      </c>
      <c r="T3" s="3" t="s">
        <v>46</v>
      </c>
      <c r="U3" s="3" t="s">
        <v>35</v>
      </c>
    </row>
    <row r="4" customFormat="false" ht="91" hidden="false" customHeight="false" outlineLevel="0" collapsed="false">
      <c r="A4" s="2" t="n">
        <v>3</v>
      </c>
      <c r="B4" s="3" t="s">
        <v>47</v>
      </c>
      <c r="C4" s="4" t="n">
        <v>158000</v>
      </c>
      <c r="D4" s="3" t="s">
        <v>48</v>
      </c>
      <c r="E4" s="3" t="s">
        <v>49</v>
      </c>
      <c r="F4" s="3" t="s">
        <v>50</v>
      </c>
      <c r="G4" s="3" t="s">
        <v>51</v>
      </c>
      <c r="H4" s="5" t="s">
        <v>52</v>
      </c>
      <c r="I4" s="5" t="n">
        <v>4</v>
      </c>
      <c r="J4" s="2" t="n">
        <f aca="false">IFERROR(INDEX('Legend &amp; Method'!$C$11:$C$14,MATCH(H4,'Legend &amp; Method'!$B$11:$B$14,0)),"")</f>
        <v>0.75</v>
      </c>
      <c r="K4" s="4" t="n">
        <f aca="false">IF(ISNUMBER(C4),C4*J4*I4,"n/q")</f>
        <v>474000</v>
      </c>
      <c r="L4" s="2" t="n">
        <f aca="false">IF(ISNUMBER(K4),RANK(K4,$K$2:$K$23),"—")</f>
        <v>3</v>
      </c>
      <c r="M4" s="3" t="s">
        <v>53</v>
      </c>
      <c r="N4" s="3" t="s">
        <v>54</v>
      </c>
      <c r="O4" s="3" t="s">
        <v>55</v>
      </c>
      <c r="P4" s="3" t="s">
        <v>56</v>
      </c>
      <c r="Q4" s="3" t="s">
        <v>57</v>
      </c>
      <c r="R4" s="3" t="s">
        <v>58</v>
      </c>
      <c r="S4" s="3" t="s">
        <v>59</v>
      </c>
      <c r="T4" s="3" t="s">
        <v>60</v>
      </c>
      <c r="U4" s="3" t="s">
        <v>61</v>
      </c>
    </row>
    <row r="5" customFormat="false" ht="35.05" hidden="false" customHeight="false" outlineLevel="0" collapsed="false">
      <c r="A5" s="2" t="n">
        <v>4</v>
      </c>
      <c r="B5" s="3" t="s">
        <v>62</v>
      </c>
      <c r="C5" s="4" t="n">
        <v>180000</v>
      </c>
      <c r="D5" s="3" t="s">
        <v>63</v>
      </c>
      <c r="E5" s="3" t="s">
        <v>64</v>
      </c>
      <c r="F5" s="3" t="s">
        <v>65</v>
      </c>
      <c r="G5" s="3" t="s">
        <v>66</v>
      </c>
      <c r="H5" s="5" t="s">
        <v>26</v>
      </c>
      <c r="I5" s="5" t="n">
        <v>1</v>
      </c>
      <c r="J5" s="2" t="n">
        <f aca="false">IFERROR(INDEX('Legend &amp; Method'!$C$11:$C$14,MATCH(H5,'Legend &amp; Method'!$B$11:$B$14,0)),"")</f>
        <v>1</v>
      </c>
      <c r="K5" s="4" t="n">
        <f aca="false">IF(ISNUMBER(C5),C5*J5*I5,"n/q")</f>
        <v>180000</v>
      </c>
      <c r="L5" s="2" t="n">
        <f aca="false">IF(ISNUMBER(K5),RANK(K5,$K$2:$K$23),"—")</f>
        <v>4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72</v>
      </c>
      <c r="S5" s="3" t="s">
        <v>73</v>
      </c>
      <c r="T5" s="3" t="s">
        <v>74</v>
      </c>
      <c r="U5" s="3" t="s">
        <v>75</v>
      </c>
    </row>
    <row r="6" customFormat="false" ht="35.05" hidden="false" customHeight="false" outlineLevel="0" collapsed="false">
      <c r="A6" s="2" t="n">
        <v>5</v>
      </c>
      <c r="B6" s="3" t="s">
        <v>76</v>
      </c>
      <c r="C6" s="4" t="n">
        <v>19000</v>
      </c>
      <c r="D6" s="3" t="s">
        <v>77</v>
      </c>
      <c r="E6" s="3" t="s">
        <v>78</v>
      </c>
      <c r="F6" s="3" t="s">
        <v>79</v>
      </c>
      <c r="G6" s="3" t="s">
        <v>80</v>
      </c>
      <c r="H6" s="5" t="s">
        <v>26</v>
      </c>
      <c r="I6" s="5" t="n">
        <v>3</v>
      </c>
      <c r="J6" s="2" t="n">
        <f aca="false">IFERROR(INDEX('Legend &amp; Method'!$C$11:$C$14,MATCH(H6,'Legend &amp; Method'!$B$11:$B$14,0)),"")</f>
        <v>1</v>
      </c>
      <c r="K6" s="4" t="n">
        <f aca="false">IF(ISNUMBER(C6),C6*J6*I6,"n/q")</f>
        <v>57000</v>
      </c>
      <c r="L6" s="2" t="n">
        <f aca="false">IF(ISNUMBER(K6),RANK(K6,$K$2:$K$23),"—")</f>
        <v>5</v>
      </c>
      <c r="M6" s="3" t="s">
        <v>81</v>
      </c>
      <c r="N6" s="3" t="s">
        <v>82</v>
      </c>
      <c r="O6" s="3" t="s">
        <v>83</v>
      </c>
      <c r="P6" s="3" t="s">
        <v>84</v>
      </c>
      <c r="Q6" s="3" t="s">
        <v>85</v>
      </c>
      <c r="R6" s="3" t="s">
        <v>86</v>
      </c>
      <c r="S6" s="3" t="s">
        <v>87</v>
      </c>
      <c r="T6" s="3" t="s">
        <v>88</v>
      </c>
      <c r="U6" s="3" t="s">
        <v>89</v>
      </c>
    </row>
    <row r="7" customFormat="false" ht="35.05" hidden="false" customHeight="false" outlineLevel="0" collapsed="false">
      <c r="A7" s="2" t="n">
        <v>6</v>
      </c>
      <c r="B7" s="3" t="s">
        <v>90</v>
      </c>
      <c r="C7" s="4" t="n">
        <v>106000</v>
      </c>
      <c r="D7" s="3" t="s">
        <v>91</v>
      </c>
      <c r="E7" s="3" t="s">
        <v>92</v>
      </c>
      <c r="F7" s="3" t="s">
        <v>93</v>
      </c>
      <c r="G7" s="3" t="s">
        <v>94</v>
      </c>
      <c r="H7" s="5" t="s">
        <v>95</v>
      </c>
      <c r="I7" s="5" t="n">
        <v>1</v>
      </c>
      <c r="J7" s="2" t="n">
        <f aca="false">IFERROR(INDEX('Legend &amp; Method'!$C$11:$C$14,MATCH(H7,'Legend &amp; Method'!$B$11:$B$14,0)),"")</f>
        <v>0.5</v>
      </c>
      <c r="K7" s="4" t="n">
        <f aca="false">IF(ISNUMBER(C7),C7*J7*I7,"n/q")</f>
        <v>53000</v>
      </c>
      <c r="L7" s="2" t="n">
        <f aca="false">IF(ISNUMBER(K7),RANK(K7,$K$2:$K$23),"—")</f>
        <v>6</v>
      </c>
      <c r="M7" s="3" t="s">
        <v>96</v>
      </c>
      <c r="N7" s="3" t="s">
        <v>97</v>
      </c>
      <c r="O7" s="3" t="s">
        <v>98</v>
      </c>
      <c r="P7" s="3" t="s">
        <v>99</v>
      </c>
      <c r="Q7" s="3" t="s">
        <v>44</v>
      </c>
      <c r="R7" s="3" t="s">
        <v>44</v>
      </c>
      <c r="S7" s="3" t="s">
        <v>100</v>
      </c>
      <c r="T7" s="3" t="s">
        <v>101</v>
      </c>
      <c r="U7" s="3" t="s">
        <v>102</v>
      </c>
    </row>
    <row r="8" customFormat="false" ht="79.85" hidden="false" customHeight="false" outlineLevel="0" collapsed="false">
      <c r="A8" s="2" t="n">
        <v>7</v>
      </c>
      <c r="B8" s="3" t="s">
        <v>103</v>
      </c>
      <c r="C8" s="4" t="n">
        <v>11322</v>
      </c>
      <c r="D8" s="3" t="s">
        <v>104</v>
      </c>
      <c r="E8" s="3" t="s">
        <v>105</v>
      </c>
      <c r="F8" s="3" t="s">
        <v>106</v>
      </c>
      <c r="G8" s="3" t="s">
        <v>107</v>
      </c>
      <c r="H8" s="5" t="s">
        <v>52</v>
      </c>
      <c r="I8" s="5" t="n">
        <v>4</v>
      </c>
      <c r="J8" s="2" t="n">
        <f aca="false">IFERROR(INDEX('Legend &amp; Method'!$C$11:$C$14,MATCH(H8,'Legend &amp; Method'!$B$11:$B$14,0)),"")</f>
        <v>0.75</v>
      </c>
      <c r="K8" s="4" t="n">
        <f aca="false">IF(ISNUMBER(C8),C8*J8*I8,"n/q")</f>
        <v>33966</v>
      </c>
      <c r="L8" s="2" t="n">
        <f aca="false">IF(ISNUMBER(K8),RANK(K8,$K$2:$K$23),"—")</f>
        <v>7</v>
      </c>
      <c r="M8" s="3" t="s">
        <v>108</v>
      </c>
      <c r="N8" s="3" t="s">
        <v>109</v>
      </c>
      <c r="O8" s="3" t="s">
        <v>110</v>
      </c>
      <c r="P8" s="3" t="s">
        <v>111</v>
      </c>
      <c r="Q8" s="3" t="s">
        <v>112</v>
      </c>
      <c r="R8" s="3" t="s">
        <v>113</v>
      </c>
      <c r="S8" s="3" t="s">
        <v>114</v>
      </c>
      <c r="T8" s="3" t="s">
        <v>115</v>
      </c>
      <c r="U8" s="3" t="s">
        <v>116</v>
      </c>
    </row>
    <row r="9" customFormat="false" ht="46.25" hidden="false" customHeight="false" outlineLevel="0" collapsed="false">
      <c r="A9" s="2" t="n">
        <v>8</v>
      </c>
      <c r="B9" s="3" t="s">
        <v>117</v>
      </c>
      <c r="C9" s="4" t="n">
        <v>6931</v>
      </c>
      <c r="D9" s="3" t="s">
        <v>118</v>
      </c>
      <c r="E9" s="3" t="s">
        <v>78</v>
      </c>
      <c r="F9" s="3" t="s">
        <v>119</v>
      </c>
      <c r="G9" s="3" t="s">
        <v>120</v>
      </c>
      <c r="H9" s="5" t="s">
        <v>52</v>
      </c>
      <c r="I9" s="5" t="n">
        <v>3</v>
      </c>
      <c r="J9" s="2" t="n">
        <f aca="false">IFERROR(INDEX('Legend &amp; Method'!$C$11:$C$14,MATCH(H9,'Legend &amp; Method'!$B$11:$B$14,0)),"")</f>
        <v>0.75</v>
      </c>
      <c r="K9" s="4" t="n">
        <f aca="false">IF(ISNUMBER(C9),C9*J9*I9,"n/q")</f>
        <v>15594.75</v>
      </c>
      <c r="L9" s="2" t="n">
        <f aca="false">IF(ISNUMBER(K9),RANK(K9,$K$2:$K$23),"—")</f>
        <v>8</v>
      </c>
      <c r="M9" s="3" t="s">
        <v>121</v>
      </c>
      <c r="N9" s="3" t="s">
        <v>122</v>
      </c>
      <c r="O9" s="3" t="s">
        <v>123</v>
      </c>
      <c r="P9" s="3" t="s">
        <v>124</v>
      </c>
      <c r="Q9" s="3" t="s">
        <v>125</v>
      </c>
      <c r="R9" s="3" t="s">
        <v>126</v>
      </c>
      <c r="S9" s="3" t="s">
        <v>127</v>
      </c>
      <c r="T9" s="3" t="s">
        <v>128</v>
      </c>
      <c r="U9" s="3" t="s">
        <v>129</v>
      </c>
    </row>
    <row r="10" customFormat="false" ht="79.85" hidden="false" customHeight="false" outlineLevel="0" collapsed="false">
      <c r="A10" s="2" t="n">
        <v>9</v>
      </c>
      <c r="B10" s="3" t="s">
        <v>130</v>
      </c>
      <c r="C10" s="4" t="n">
        <v>4400</v>
      </c>
      <c r="D10" s="3" t="s">
        <v>131</v>
      </c>
      <c r="E10" s="3" t="s">
        <v>132</v>
      </c>
      <c r="F10" s="3" t="s">
        <v>133</v>
      </c>
      <c r="G10" s="3" t="s">
        <v>134</v>
      </c>
      <c r="H10" s="5" t="s">
        <v>95</v>
      </c>
      <c r="I10" s="5" t="n">
        <v>3</v>
      </c>
      <c r="J10" s="2" t="n">
        <f aca="false">IFERROR(INDEX('Legend &amp; Method'!$C$11:$C$14,MATCH(H10,'Legend &amp; Method'!$B$11:$B$14,0)),"")</f>
        <v>0.5</v>
      </c>
      <c r="K10" s="4" t="n">
        <f aca="false">IF(ISNUMBER(C10),C10*J10*I10,"n/q")</f>
        <v>6600</v>
      </c>
      <c r="L10" s="2" t="n">
        <f aca="false">IF(ISNUMBER(K10),RANK(K10,$K$2:$K$23),"—")</f>
        <v>9</v>
      </c>
      <c r="M10" s="3" t="s">
        <v>135</v>
      </c>
      <c r="N10" s="3" t="s">
        <v>136</v>
      </c>
      <c r="O10" s="3" t="s">
        <v>137</v>
      </c>
      <c r="P10" s="3" t="s">
        <v>138</v>
      </c>
      <c r="Q10" s="3" t="s">
        <v>139</v>
      </c>
      <c r="R10" s="3" t="s">
        <v>140</v>
      </c>
      <c r="S10" s="3" t="s">
        <v>100</v>
      </c>
      <c r="T10" s="3" t="s">
        <v>141</v>
      </c>
      <c r="U10" s="3" t="s">
        <v>102</v>
      </c>
    </row>
    <row r="11" customFormat="false" ht="35.05" hidden="false" customHeight="false" outlineLevel="0" collapsed="false">
      <c r="A11" s="2" t="n">
        <v>10</v>
      </c>
      <c r="B11" s="3" t="s">
        <v>142</v>
      </c>
      <c r="C11" s="4" t="n">
        <v>4300</v>
      </c>
      <c r="D11" s="3" t="s">
        <v>143</v>
      </c>
      <c r="E11" s="3" t="s">
        <v>78</v>
      </c>
      <c r="F11" s="3" t="s">
        <v>144</v>
      </c>
      <c r="G11" s="3" t="s">
        <v>145</v>
      </c>
      <c r="H11" s="5" t="s">
        <v>26</v>
      </c>
      <c r="I11" s="5" t="n">
        <v>1</v>
      </c>
      <c r="J11" s="2" t="n">
        <f aca="false">IFERROR(INDEX('Legend &amp; Method'!$C$11:$C$14,MATCH(H11,'Legend &amp; Method'!$B$11:$B$14,0)),"")</f>
        <v>1</v>
      </c>
      <c r="K11" s="4" t="n">
        <f aca="false">IF(ISNUMBER(C11),C11*J11*I11,"n/q")</f>
        <v>4300</v>
      </c>
      <c r="L11" s="2" t="n">
        <f aca="false">IF(ISNUMBER(K11),RANK(K11,$K$2:$K$23),"—")</f>
        <v>10</v>
      </c>
      <c r="M11" s="3" t="s">
        <v>146</v>
      </c>
      <c r="N11" s="3" t="s">
        <v>147</v>
      </c>
      <c r="O11" s="3" t="s">
        <v>148</v>
      </c>
      <c r="P11" s="3" t="s">
        <v>149</v>
      </c>
      <c r="Q11" s="3" t="s">
        <v>150</v>
      </c>
      <c r="R11" s="3" t="s">
        <v>151</v>
      </c>
      <c r="S11" s="3" t="s">
        <v>33</v>
      </c>
      <c r="T11" s="3" t="s">
        <v>152</v>
      </c>
      <c r="U11" s="3" t="s">
        <v>153</v>
      </c>
    </row>
    <row r="12" customFormat="false" ht="91" hidden="false" customHeight="false" outlineLevel="0" collapsed="false">
      <c r="A12" s="2" t="n">
        <v>11</v>
      </c>
      <c r="B12" s="3" t="s">
        <v>154</v>
      </c>
      <c r="C12" s="4" t="n">
        <v>542</v>
      </c>
      <c r="D12" s="3" t="s">
        <v>155</v>
      </c>
      <c r="E12" s="3" t="s">
        <v>78</v>
      </c>
      <c r="F12" s="3" t="s">
        <v>156</v>
      </c>
      <c r="G12" s="3" t="s">
        <v>157</v>
      </c>
      <c r="H12" s="5" t="s">
        <v>52</v>
      </c>
      <c r="I12" s="5" t="n">
        <v>4</v>
      </c>
      <c r="J12" s="2" t="n">
        <f aca="false">IFERROR(INDEX('Legend &amp; Method'!$C$11:$C$14,MATCH(H12,'Legend &amp; Method'!$B$11:$B$14,0)),"")</f>
        <v>0.75</v>
      </c>
      <c r="K12" s="4" t="n">
        <f aca="false">IF(ISNUMBER(C12),C12*J12*I12,"n/q")</f>
        <v>1626</v>
      </c>
      <c r="L12" s="2" t="n">
        <f aca="false">IF(ISNUMBER(K12),RANK(K12,$K$2:$K$23),"—")</f>
        <v>11</v>
      </c>
      <c r="M12" s="3" t="s">
        <v>96</v>
      </c>
      <c r="N12" s="3" t="s">
        <v>158</v>
      </c>
      <c r="O12" s="3" t="s">
        <v>159</v>
      </c>
      <c r="P12" s="3" t="s">
        <v>43</v>
      </c>
      <c r="Q12" s="3" t="s">
        <v>44</v>
      </c>
      <c r="R12" s="3" t="s">
        <v>44</v>
      </c>
      <c r="S12" s="3" t="s">
        <v>100</v>
      </c>
      <c r="T12" s="3" t="s">
        <v>160</v>
      </c>
      <c r="U12" s="3" t="s">
        <v>102</v>
      </c>
    </row>
    <row r="13" customFormat="false" ht="46.25" hidden="false" customHeight="false" outlineLevel="0" collapsed="false">
      <c r="A13" s="2" t="n">
        <v>12</v>
      </c>
      <c r="B13" s="3" t="s">
        <v>161</v>
      </c>
      <c r="C13" s="4" t="n">
        <v>60000</v>
      </c>
      <c r="D13" s="3" t="s">
        <v>162</v>
      </c>
      <c r="E13" s="3" t="s">
        <v>163</v>
      </c>
      <c r="F13" s="3" t="s">
        <v>164</v>
      </c>
      <c r="G13" s="3" t="s">
        <v>165</v>
      </c>
      <c r="H13" s="5" t="s">
        <v>166</v>
      </c>
      <c r="I13" s="5" t="n">
        <v>2</v>
      </c>
      <c r="J13" s="2" t="n">
        <f aca="false">IFERROR(INDEX('Legend &amp; Method'!$C$11:$C$14,MATCH(H13,'Legend &amp; Method'!$B$11:$B$14,0)),"")</f>
        <v>0</v>
      </c>
      <c r="K13" s="4" t="n">
        <f aca="false">IF(ISNUMBER(C13),C13*J13*I13,"n/q")</f>
        <v>0</v>
      </c>
      <c r="L13" s="2" t="n">
        <f aca="false">IF(ISNUMBER(K13),RANK(K13,$K$2:$K$23),"—")</f>
        <v>12</v>
      </c>
      <c r="M13" s="3" t="s">
        <v>167</v>
      </c>
      <c r="N13" s="3" t="s">
        <v>168</v>
      </c>
      <c r="O13" s="3" t="s">
        <v>148</v>
      </c>
      <c r="P13" s="3" t="s">
        <v>169</v>
      </c>
      <c r="Q13" s="3" t="s">
        <v>170</v>
      </c>
      <c r="R13" s="3" t="s">
        <v>171</v>
      </c>
      <c r="S13" s="3" t="s">
        <v>33</v>
      </c>
      <c r="T13" s="3" t="s">
        <v>172</v>
      </c>
      <c r="U13" s="3" t="s">
        <v>173</v>
      </c>
    </row>
    <row r="14" customFormat="false" ht="68.65" hidden="false" customHeight="false" outlineLevel="0" collapsed="false">
      <c r="A14" s="6" t="n">
        <v>13</v>
      </c>
      <c r="B14" s="7" t="s">
        <v>174</v>
      </c>
      <c r="C14" s="8" t="s">
        <v>78</v>
      </c>
      <c r="D14" s="7" t="s">
        <v>175</v>
      </c>
      <c r="E14" s="7" t="s">
        <v>176</v>
      </c>
      <c r="F14" s="7" t="s">
        <v>177</v>
      </c>
      <c r="G14" s="7" t="s">
        <v>178</v>
      </c>
      <c r="H14" s="9" t="s">
        <v>26</v>
      </c>
      <c r="I14" s="9" t="n">
        <v>5</v>
      </c>
      <c r="J14" s="6" t="n">
        <f aca="false">IFERROR(INDEX('Legend &amp; Method'!$C$11:$C$14,MATCH(H14,'Legend &amp; Method'!$B$11:$B$14,0)),"")</f>
        <v>1</v>
      </c>
      <c r="K14" s="8" t="str">
        <f aca="false">IF(ISNUMBER(C14),C14*J14*I14,"n/q")</f>
        <v>n/q</v>
      </c>
      <c r="L14" s="6" t="str">
        <f aca="false">IF(ISNUMBER(K14),RANK(K14,$K$2:$K$23),"—")</f>
        <v>—</v>
      </c>
      <c r="M14" s="7" t="s">
        <v>179</v>
      </c>
      <c r="N14" s="7" t="s">
        <v>180</v>
      </c>
      <c r="O14" s="7" t="s">
        <v>181</v>
      </c>
      <c r="P14" s="7" t="s">
        <v>182</v>
      </c>
      <c r="Q14" s="7" t="s">
        <v>183</v>
      </c>
      <c r="R14" s="7" t="s">
        <v>184</v>
      </c>
      <c r="S14" s="7" t="s">
        <v>185</v>
      </c>
      <c r="T14" s="7" t="s">
        <v>186</v>
      </c>
      <c r="U14" s="7" t="s">
        <v>187</v>
      </c>
    </row>
    <row r="15" customFormat="false" ht="102.2" hidden="false" customHeight="false" outlineLevel="0" collapsed="false">
      <c r="A15" s="6" t="n">
        <v>14</v>
      </c>
      <c r="B15" s="7" t="s">
        <v>188</v>
      </c>
      <c r="C15" s="8" t="s">
        <v>78</v>
      </c>
      <c r="D15" s="7" t="s">
        <v>189</v>
      </c>
      <c r="E15" s="7" t="s">
        <v>190</v>
      </c>
      <c r="F15" s="7" t="s">
        <v>191</v>
      </c>
      <c r="G15" s="7" t="s">
        <v>192</v>
      </c>
      <c r="H15" s="9" t="s">
        <v>26</v>
      </c>
      <c r="I15" s="9" t="n">
        <v>5</v>
      </c>
      <c r="J15" s="6" t="n">
        <f aca="false">IFERROR(INDEX('Legend &amp; Method'!$C$11:$C$14,MATCH(H15,'Legend &amp; Method'!$B$11:$B$14,0)),"")</f>
        <v>1</v>
      </c>
      <c r="K15" s="8" t="str">
        <f aca="false">IF(ISNUMBER(C15),C15*J15*I15,"n/q")</f>
        <v>n/q</v>
      </c>
      <c r="L15" s="6" t="str">
        <f aca="false">IF(ISNUMBER(K15),RANK(K15,$K$2:$K$23),"—")</f>
        <v>—</v>
      </c>
      <c r="M15" s="7" t="s">
        <v>193</v>
      </c>
      <c r="N15" s="7" t="s">
        <v>194</v>
      </c>
      <c r="O15" s="7" t="s">
        <v>195</v>
      </c>
      <c r="P15" s="7" t="s">
        <v>56</v>
      </c>
      <c r="Q15" s="7" t="s">
        <v>196</v>
      </c>
      <c r="R15" s="7" t="s">
        <v>197</v>
      </c>
      <c r="S15" s="7" t="s">
        <v>198</v>
      </c>
      <c r="T15" s="7" t="s">
        <v>199</v>
      </c>
      <c r="U15" s="7" t="s">
        <v>200</v>
      </c>
    </row>
    <row r="16" customFormat="false" ht="46.25" hidden="false" customHeight="false" outlineLevel="0" collapsed="false">
      <c r="A16" s="6" t="n">
        <v>15</v>
      </c>
      <c r="B16" s="7" t="s">
        <v>201</v>
      </c>
      <c r="C16" s="8" t="s">
        <v>78</v>
      </c>
      <c r="D16" s="7" t="s">
        <v>202</v>
      </c>
      <c r="E16" s="7" t="s">
        <v>203</v>
      </c>
      <c r="F16" s="7" t="s">
        <v>204</v>
      </c>
      <c r="G16" s="7" t="s">
        <v>205</v>
      </c>
      <c r="H16" s="9" t="s">
        <v>26</v>
      </c>
      <c r="I16" s="9" t="n">
        <v>3</v>
      </c>
      <c r="J16" s="6" t="n">
        <f aca="false">IFERROR(INDEX('Legend &amp; Method'!$C$11:$C$14,MATCH(H16,'Legend &amp; Method'!$B$11:$B$14,0)),"")</f>
        <v>1</v>
      </c>
      <c r="K16" s="8" t="str">
        <f aca="false">IF(ISNUMBER(C16),C16*J16*I16,"n/q")</f>
        <v>n/q</v>
      </c>
      <c r="L16" s="6" t="str">
        <f aca="false">IF(ISNUMBER(K16),RANK(K16,$K$2:$K$23),"—")</f>
        <v>—</v>
      </c>
      <c r="M16" s="7" t="s">
        <v>206</v>
      </c>
      <c r="N16" s="7" t="s">
        <v>207</v>
      </c>
      <c r="O16" s="7" t="s">
        <v>208</v>
      </c>
      <c r="P16" s="7" t="s">
        <v>209</v>
      </c>
      <c r="Q16" s="7" t="s">
        <v>210</v>
      </c>
      <c r="R16" s="7" t="s">
        <v>197</v>
      </c>
      <c r="S16" s="7" t="s">
        <v>33</v>
      </c>
      <c r="T16" s="7" t="s">
        <v>211</v>
      </c>
      <c r="U16" s="7" t="s">
        <v>200</v>
      </c>
    </row>
    <row r="17" customFormat="false" ht="46.25" hidden="false" customHeight="false" outlineLevel="0" collapsed="false">
      <c r="A17" s="6" t="n">
        <v>16</v>
      </c>
      <c r="B17" s="7" t="s">
        <v>212</v>
      </c>
      <c r="C17" s="8" t="s">
        <v>78</v>
      </c>
      <c r="D17" s="7" t="s">
        <v>213</v>
      </c>
      <c r="E17" s="7" t="s">
        <v>214</v>
      </c>
      <c r="F17" s="7" t="s">
        <v>215</v>
      </c>
      <c r="G17" s="7" t="s">
        <v>216</v>
      </c>
      <c r="H17" s="9" t="s">
        <v>26</v>
      </c>
      <c r="I17" s="9" t="n">
        <v>1</v>
      </c>
      <c r="J17" s="6" t="n">
        <f aca="false">IFERROR(INDEX('Legend &amp; Method'!$C$11:$C$14,MATCH(H17,'Legend &amp; Method'!$B$11:$B$14,0)),"")</f>
        <v>1</v>
      </c>
      <c r="K17" s="8" t="str">
        <f aca="false">IF(ISNUMBER(C17),C17*J17*I17,"n/q")</f>
        <v>n/q</v>
      </c>
      <c r="L17" s="6" t="str">
        <f aca="false">IF(ISNUMBER(K17),RANK(K17,$K$2:$K$23),"—")</f>
        <v>—</v>
      </c>
      <c r="M17" s="7" t="s">
        <v>217</v>
      </c>
      <c r="N17" s="7" t="s">
        <v>218</v>
      </c>
      <c r="O17" s="7" t="s">
        <v>219</v>
      </c>
      <c r="P17" s="7" t="s">
        <v>209</v>
      </c>
      <c r="Q17" s="7" t="s">
        <v>148</v>
      </c>
      <c r="R17" s="7" t="s">
        <v>148</v>
      </c>
      <c r="S17" s="7" t="s">
        <v>220</v>
      </c>
      <c r="T17" s="7" t="s">
        <v>221</v>
      </c>
      <c r="U17" s="7" t="s">
        <v>222</v>
      </c>
    </row>
    <row r="18" customFormat="false" ht="35.05" hidden="false" customHeight="false" outlineLevel="0" collapsed="false">
      <c r="A18" s="6" t="n">
        <v>17</v>
      </c>
      <c r="B18" s="7" t="s">
        <v>223</v>
      </c>
      <c r="C18" s="8" t="s">
        <v>78</v>
      </c>
      <c r="D18" s="7" t="s">
        <v>224</v>
      </c>
      <c r="E18" s="7" t="s">
        <v>78</v>
      </c>
      <c r="F18" s="7" t="s">
        <v>225</v>
      </c>
      <c r="G18" s="7" t="s">
        <v>134</v>
      </c>
      <c r="H18" s="9" t="s">
        <v>52</v>
      </c>
      <c r="I18" s="9" t="n">
        <v>3</v>
      </c>
      <c r="J18" s="6" t="n">
        <f aca="false">IFERROR(INDEX('Legend &amp; Method'!$C$11:$C$14,MATCH(H18,'Legend &amp; Method'!$B$11:$B$14,0)),"")</f>
        <v>0.75</v>
      </c>
      <c r="K18" s="8" t="str">
        <f aca="false">IF(ISNUMBER(C18),C18*J18*I18,"n/q")</f>
        <v>n/q</v>
      </c>
      <c r="L18" s="6" t="str">
        <f aca="false">IF(ISNUMBER(K18),RANK(K18,$K$2:$K$23),"—")</f>
        <v>—</v>
      </c>
      <c r="M18" s="7" t="s">
        <v>226</v>
      </c>
      <c r="N18" s="7" t="s">
        <v>227</v>
      </c>
      <c r="O18" s="7" t="s">
        <v>228</v>
      </c>
      <c r="P18" s="7" t="s">
        <v>229</v>
      </c>
      <c r="Q18" s="7" t="s">
        <v>148</v>
      </c>
      <c r="R18" s="7" t="s">
        <v>230</v>
      </c>
      <c r="S18" s="7" t="s">
        <v>231</v>
      </c>
      <c r="T18" s="7" t="s">
        <v>232</v>
      </c>
      <c r="U18" s="7" t="s">
        <v>233</v>
      </c>
    </row>
    <row r="19" customFormat="false" ht="46.25" hidden="false" customHeight="false" outlineLevel="0" collapsed="false">
      <c r="A19" s="6" t="n">
        <v>18</v>
      </c>
      <c r="B19" s="7" t="s">
        <v>234</v>
      </c>
      <c r="C19" s="8" t="s">
        <v>78</v>
      </c>
      <c r="D19" s="7" t="s">
        <v>235</v>
      </c>
      <c r="E19" s="7" t="s">
        <v>236</v>
      </c>
      <c r="F19" s="7" t="s">
        <v>237</v>
      </c>
      <c r="G19" s="7" t="s">
        <v>238</v>
      </c>
      <c r="H19" s="9" t="s">
        <v>52</v>
      </c>
      <c r="I19" s="9" t="n">
        <v>3</v>
      </c>
      <c r="J19" s="6" t="n">
        <f aca="false">IFERROR(INDEX('Legend &amp; Method'!$C$11:$C$14,MATCH(H19,'Legend &amp; Method'!$B$11:$B$14,0)),"")</f>
        <v>0.75</v>
      </c>
      <c r="K19" s="8" t="str">
        <f aca="false">IF(ISNUMBER(C19),C19*J19*I19,"n/q")</f>
        <v>n/q</v>
      </c>
      <c r="L19" s="6" t="str">
        <f aca="false">IF(ISNUMBER(K19),RANK(K19,$K$2:$K$23),"—")</f>
        <v>—</v>
      </c>
      <c r="M19" s="7" t="s">
        <v>239</v>
      </c>
      <c r="N19" s="7" t="s">
        <v>240</v>
      </c>
      <c r="O19" s="7" t="s">
        <v>241</v>
      </c>
      <c r="P19" s="7" t="s">
        <v>209</v>
      </c>
      <c r="Q19" s="7" t="s">
        <v>148</v>
      </c>
      <c r="R19" s="7" t="s">
        <v>230</v>
      </c>
      <c r="S19" s="7" t="s">
        <v>45</v>
      </c>
      <c r="T19" s="7" t="s">
        <v>242</v>
      </c>
      <c r="U19" s="7" t="s">
        <v>233</v>
      </c>
    </row>
    <row r="20" customFormat="false" ht="46.25" hidden="false" customHeight="false" outlineLevel="0" collapsed="false">
      <c r="A20" s="6" t="n">
        <v>19</v>
      </c>
      <c r="B20" s="7" t="s">
        <v>243</v>
      </c>
      <c r="C20" s="8" t="s">
        <v>78</v>
      </c>
      <c r="D20" s="7" t="s">
        <v>244</v>
      </c>
      <c r="E20" s="7" t="s">
        <v>78</v>
      </c>
      <c r="F20" s="7" t="s">
        <v>245</v>
      </c>
      <c r="G20" s="7" t="s">
        <v>246</v>
      </c>
      <c r="H20" s="9" t="s">
        <v>95</v>
      </c>
      <c r="I20" s="9" t="n">
        <v>3</v>
      </c>
      <c r="J20" s="6" t="n">
        <f aca="false">IFERROR(INDEX('Legend &amp; Method'!$C$11:$C$14,MATCH(H20,'Legend &amp; Method'!$B$11:$B$14,0)),"")</f>
        <v>0.5</v>
      </c>
      <c r="K20" s="8" t="str">
        <f aca="false">IF(ISNUMBER(C20),C20*J20*I20,"n/q")</f>
        <v>n/q</v>
      </c>
      <c r="L20" s="6" t="str">
        <f aca="false">IF(ISNUMBER(K20),RANK(K20,$K$2:$K$23),"—")</f>
        <v>—</v>
      </c>
      <c r="M20" s="7" t="s">
        <v>247</v>
      </c>
      <c r="N20" s="7" t="s">
        <v>248</v>
      </c>
      <c r="O20" s="7" t="s">
        <v>148</v>
      </c>
      <c r="P20" s="7" t="s">
        <v>70</v>
      </c>
      <c r="Q20" s="7" t="s">
        <v>249</v>
      </c>
      <c r="R20" s="7" t="s">
        <v>250</v>
      </c>
      <c r="S20" s="7" t="s">
        <v>87</v>
      </c>
      <c r="T20" s="7" t="s">
        <v>251</v>
      </c>
      <c r="U20" s="7" t="s">
        <v>252</v>
      </c>
    </row>
    <row r="21" customFormat="false" ht="57.45" hidden="false" customHeight="false" outlineLevel="0" collapsed="false">
      <c r="A21" s="6" t="n">
        <v>20</v>
      </c>
      <c r="B21" s="7" t="s">
        <v>253</v>
      </c>
      <c r="C21" s="8" t="s">
        <v>78</v>
      </c>
      <c r="D21" s="7" t="s">
        <v>254</v>
      </c>
      <c r="E21" s="7" t="s">
        <v>255</v>
      </c>
      <c r="F21" s="7" t="s">
        <v>256</v>
      </c>
      <c r="G21" s="7" t="s">
        <v>257</v>
      </c>
      <c r="H21" s="9" t="s">
        <v>52</v>
      </c>
      <c r="I21" s="9" t="n">
        <v>2</v>
      </c>
      <c r="J21" s="6" t="n">
        <f aca="false">IFERROR(INDEX('Legend &amp; Method'!$C$11:$C$14,MATCH(H21,'Legend &amp; Method'!$B$11:$B$14,0)),"")</f>
        <v>0.75</v>
      </c>
      <c r="K21" s="8" t="str">
        <f aca="false">IF(ISNUMBER(C21),C21*J21*I21,"n/q")</f>
        <v>n/q</v>
      </c>
      <c r="L21" s="6" t="str">
        <f aca="false">IF(ISNUMBER(K21),RANK(K21,$K$2:$K$23),"—")</f>
        <v>—</v>
      </c>
      <c r="M21" s="7" t="s">
        <v>258</v>
      </c>
      <c r="N21" s="7" t="s">
        <v>147</v>
      </c>
      <c r="O21" s="7" t="s">
        <v>148</v>
      </c>
      <c r="P21" s="7" t="s">
        <v>259</v>
      </c>
      <c r="Q21" s="7" t="s">
        <v>260</v>
      </c>
      <c r="R21" s="7" t="s">
        <v>261</v>
      </c>
      <c r="S21" s="7" t="s">
        <v>262</v>
      </c>
      <c r="T21" s="7" t="s">
        <v>263</v>
      </c>
      <c r="U21" s="7" t="s">
        <v>264</v>
      </c>
    </row>
    <row r="22" customFormat="false" ht="46.25" hidden="false" customHeight="false" outlineLevel="0" collapsed="false">
      <c r="A22" s="6" t="n">
        <v>21</v>
      </c>
      <c r="B22" s="7" t="s">
        <v>265</v>
      </c>
      <c r="C22" s="8" t="s">
        <v>78</v>
      </c>
      <c r="D22" s="7" t="s">
        <v>266</v>
      </c>
      <c r="E22" s="7" t="s">
        <v>267</v>
      </c>
      <c r="F22" s="7" t="s">
        <v>268</v>
      </c>
      <c r="G22" s="7" t="s">
        <v>269</v>
      </c>
      <c r="H22" s="9" t="s">
        <v>26</v>
      </c>
      <c r="I22" s="9" t="n">
        <v>1</v>
      </c>
      <c r="J22" s="6" t="n">
        <f aca="false">IFERROR(INDEX('Legend &amp; Method'!$C$11:$C$14,MATCH(H22,'Legend &amp; Method'!$B$11:$B$14,0)),"")</f>
        <v>1</v>
      </c>
      <c r="K22" s="8" t="str">
        <f aca="false">IF(ISNUMBER(C22),C22*J22*I22,"n/q")</f>
        <v>n/q</v>
      </c>
      <c r="L22" s="6" t="str">
        <f aca="false">IF(ISNUMBER(K22),RANK(K22,$K$2:$K$23),"—")</f>
        <v>—</v>
      </c>
      <c r="M22" s="7" t="s">
        <v>270</v>
      </c>
      <c r="N22" s="7" t="s">
        <v>271</v>
      </c>
      <c r="O22" s="7" t="s">
        <v>148</v>
      </c>
      <c r="P22" s="7" t="s">
        <v>70</v>
      </c>
      <c r="Q22" s="7" t="s">
        <v>148</v>
      </c>
      <c r="R22" s="7" t="s">
        <v>86</v>
      </c>
      <c r="S22" s="7" t="s">
        <v>272</v>
      </c>
      <c r="T22" s="7" t="s">
        <v>152</v>
      </c>
      <c r="U22" s="7" t="s">
        <v>273</v>
      </c>
    </row>
    <row r="23" customFormat="false" ht="46.25" hidden="false" customHeight="false" outlineLevel="0" collapsed="false">
      <c r="A23" s="6" t="n">
        <v>22</v>
      </c>
      <c r="B23" s="7" t="s">
        <v>274</v>
      </c>
      <c r="C23" s="8" t="s">
        <v>78</v>
      </c>
      <c r="D23" s="7" t="s">
        <v>275</v>
      </c>
      <c r="E23" s="7" t="s">
        <v>276</v>
      </c>
      <c r="F23" s="7" t="s">
        <v>277</v>
      </c>
      <c r="G23" s="7" t="s">
        <v>278</v>
      </c>
      <c r="H23" s="9" t="s">
        <v>52</v>
      </c>
      <c r="I23" s="9" t="n">
        <v>5</v>
      </c>
      <c r="J23" s="6" t="n">
        <f aca="false">IFERROR(INDEX('Legend &amp; Method'!$C$11:$C$14,MATCH(H23,'Legend &amp; Method'!$B$11:$B$14,0)),"")</f>
        <v>0.75</v>
      </c>
      <c r="K23" s="8" t="str">
        <f aca="false">IF(ISNUMBER(C23),C23*J23*I23,"n/q")</f>
        <v>n/q</v>
      </c>
      <c r="L23" s="6" t="str">
        <f aca="false">IF(ISNUMBER(K23),RANK(K23,$K$2:$K$23),"—")</f>
        <v>—</v>
      </c>
      <c r="M23" s="7" t="s">
        <v>279</v>
      </c>
      <c r="N23" s="7" t="s">
        <v>147</v>
      </c>
      <c r="O23" s="7" t="s">
        <v>148</v>
      </c>
      <c r="P23" s="7" t="s">
        <v>280</v>
      </c>
      <c r="Q23" s="7" t="s">
        <v>281</v>
      </c>
      <c r="R23" s="7" t="s">
        <v>282</v>
      </c>
      <c r="S23" s="7" t="s">
        <v>283</v>
      </c>
      <c r="T23" s="7" t="s">
        <v>284</v>
      </c>
      <c r="U23" s="7" t="s">
        <v>285</v>
      </c>
    </row>
  </sheetData>
  <autoFilter ref="A1:U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0" t="s">
        <v>286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0" t="s">
        <v>287</v>
      </c>
    </row>
    <row r="4" customFormat="false" ht="23.85" hidden="false" customHeight="false" outlineLevel="0" collapsed="false">
      <c r="A4" s="11" t="s">
        <v>288</v>
      </c>
    </row>
    <row r="5" customFormat="false" ht="23.85" hidden="false" customHeight="false" outlineLevel="0" collapsed="false">
      <c r="A5" s="11" t="s">
        <v>289</v>
      </c>
    </row>
    <row r="6" customFormat="false" ht="23.85" hidden="false" customHeight="false" outlineLevel="0" collapsed="false">
      <c r="A6" s="11" t="s">
        <v>290</v>
      </c>
    </row>
    <row r="7" customFormat="false" ht="23.85" hidden="false" customHeight="false" outlineLevel="0" collapsed="false">
      <c r="A7" s="11" t="s">
        <v>291</v>
      </c>
    </row>
    <row r="8" customFormat="false" ht="15" hidden="false" customHeight="false" outlineLevel="0" collapsed="false">
      <c r="A8" s="11"/>
    </row>
    <row r="9" customFormat="false" ht="15" hidden="false" customHeight="false" outlineLevel="0" collapsed="false">
      <c r="A9" s="10" t="s">
        <v>292</v>
      </c>
    </row>
    <row r="10" customFormat="false" ht="15" hidden="false" customHeight="false" outlineLevel="0" collapsed="false">
      <c r="B10" s="12" t="s">
        <v>7</v>
      </c>
      <c r="C10" s="12" t="s">
        <v>293</v>
      </c>
      <c r="D10" s="12" t="s">
        <v>294</v>
      </c>
    </row>
    <row r="11" customFormat="false" ht="15" hidden="false" customHeight="false" outlineLevel="0" collapsed="false">
      <c r="B11" s="13" t="s">
        <v>26</v>
      </c>
      <c r="C11" s="14" t="n">
        <v>1</v>
      </c>
      <c r="D11" s="13" t="s">
        <v>295</v>
      </c>
    </row>
    <row r="12" customFormat="false" ht="15" hidden="false" customHeight="false" outlineLevel="0" collapsed="false">
      <c r="B12" s="13" t="s">
        <v>52</v>
      </c>
      <c r="C12" s="14" t="n">
        <v>0.75</v>
      </c>
      <c r="D12" s="13" t="s">
        <v>296</v>
      </c>
    </row>
    <row r="13" customFormat="false" ht="15" hidden="false" customHeight="false" outlineLevel="0" collapsed="false">
      <c r="B13" s="13" t="s">
        <v>95</v>
      </c>
      <c r="C13" s="14" t="n">
        <v>0.5</v>
      </c>
      <c r="D13" s="13" t="s">
        <v>297</v>
      </c>
    </row>
    <row r="14" customFormat="false" ht="15" hidden="false" customHeight="false" outlineLevel="0" collapsed="false">
      <c r="B14" s="13" t="s">
        <v>166</v>
      </c>
      <c r="C14" s="14" t="n">
        <v>0</v>
      </c>
      <c r="D14" s="13" t="s">
        <v>298</v>
      </c>
    </row>
    <row r="16" customFormat="false" ht="15" hidden="false" customHeight="false" outlineLevel="0" collapsed="false">
      <c r="A16" s="12" t="s">
        <v>299</v>
      </c>
    </row>
    <row r="17" customFormat="false" ht="135.8" hidden="false" customHeight="false" outlineLevel="0" collapsed="false">
      <c r="B17" s="13" t="n">
        <v>5</v>
      </c>
      <c r="C17" s="11" t="s">
        <v>300</v>
      </c>
    </row>
    <row r="18" customFormat="false" ht="113.4" hidden="false" customHeight="false" outlineLevel="0" collapsed="false">
      <c r="B18" s="13" t="n">
        <v>4</v>
      </c>
      <c r="C18" s="11" t="s">
        <v>301</v>
      </c>
    </row>
    <row r="19" customFormat="false" ht="113.4" hidden="false" customHeight="false" outlineLevel="0" collapsed="false">
      <c r="B19" s="13" t="n">
        <v>3</v>
      </c>
      <c r="C19" s="11" t="s">
        <v>302</v>
      </c>
    </row>
    <row r="20" customFormat="false" ht="135.8" hidden="false" customHeight="false" outlineLevel="0" collapsed="false">
      <c r="B20" s="13" t="n">
        <v>2</v>
      </c>
      <c r="C20" s="11" t="s">
        <v>303</v>
      </c>
    </row>
    <row r="21" customFormat="false" ht="91" hidden="false" customHeight="false" outlineLevel="0" collapsed="false">
      <c r="B21" s="13" t="n">
        <v>1</v>
      </c>
      <c r="C21" s="11" t="s">
        <v>304</v>
      </c>
    </row>
    <row r="23" customFormat="false" ht="15" hidden="false" customHeight="false" outlineLevel="0" collapsed="false">
      <c r="A23" s="10" t="s">
        <v>305</v>
      </c>
    </row>
    <row r="24" customFormat="false" ht="46.25" hidden="false" customHeight="false" outlineLevel="0" collapsed="false">
      <c r="A24" s="11" t="s">
        <v>306</v>
      </c>
    </row>
    <row r="25" customFormat="false" ht="23.85" hidden="false" customHeight="false" outlineLevel="0" collapsed="false">
      <c r="A25" s="11" t="s">
        <v>307</v>
      </c>
    </row>
    <row r="26" customFormat="false" ht="23.85" hidden="false" customHeight="false" outlineLevel="0" collapsed="false">
      <c r="A26" s="11" t="s">
        <v>308</v>
      </c>
    </row>
    <row r="27" customFormat="false" ht="23.85" hidden="false" customHeight="false" outlineLevel="0" collapsed="false">
      <c r="A27" s="11" t="s">
        <v>309</v>
      </c>
    </row>
    <row r="28" customFormat="false" ht="23.85" hidden="false" customHeight="false" outlineLevel="0" collapsed="false">
      <c r="A28" s="11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60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311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</row>
    <row r="2" customFormat="false" ht="35.05" hidden="false" customHeight="false" outlineLevel="0" collapsed="false">
      <c r="A2" s="3" t="s">
        <v>317</v>
      </c>
      <c r="B2" s="3" t="s">
        <v>318</v>
      </c>
      <c r="C2" s="15" t="n">
        <v>22356</v>
      </c>
      <c r="D2" s="3" t="s">
        <v>319</v>
      </c>
      <c r="E2" s="3" t="s">
        <v>320</v>
      </c>
      <c r="F2" s="3" t="s">
        <v>321</v>
      </c>
    </row>
    <row r="3" customFormat="false" ht="23.85" hidden="false" customHeight="false" outlineLevel="0" collapsed="false">
      <c r="A3" s="3" t="s">
        <v>317</v>
      </c>
      <c r="B3" s="3" t="s">
        <v>322</v>
      </c>
      <c r="C3" s="15" t="n">
        <v>2081</v>
      </c>
      <c r="D3" s="3" t="s">
        <v>323</v>
      </c>
      <c r="E3" s="3" t="s">
        <v>324</v>
      </c>
      <c r="F3" s="3" t="s">
        <v>325</v>
      </c>
    </row>
    <row r="4" customFormat="false" ht="23.85" hidden="false" customHeight="false" outlineLevel="0" collapsed="false">
      <c r="A4" s="3" t="s">
        <v>317</v>
      </c>
      <c r="B4" s="3" t="s">
        <v>326</v>
      </c>
      <c r="C4" s="15" t="n">
        <v>1528</v>
      </c>
      <c r="D4" s="3" t="s">
        <v>327</v>
      </c>
      <c r="E4" s="3" t="s">
        <v>324</v>
      </c>
      <c r="F4" s="3" t="s">
        <v>325</v>
      </c>
    </row>
    <row r="5" customFormat="false" ht="23.85" hidden="false" customHeight="false" outlineLevel="0" collapsed="false">
      <c r="A5" s="3" t="s">
        <v>317</v>
      </c>
      <c r="B5" s="3" t="s">
        <v>328</v>
      </c>
      <c r="C5" s="15" t="n">
        <v>1021</v>
      </c>
      <c r="D5" s="3" t="s">
        <v>329</v>
      </c>
      <c r="E5" s="3" t="s">
        <v>324</v>
      </c>
      <c r="F5" s="3" t="s">
        <v>330</v>
      </c>
    </row>
    <row r="6" customFormat="false" ht="23.85" hidden="false" customHeight="false" outlineLevel="0" collapsed="false">
      <c r="A6" s="3" t="s">
        <v>317</v>
      </c>
      <c r="B6" s="3" t="s">
        <v>120</v>
      </c>
      <c r="C6" s="15" t="n">
        <v>860</v>
      </c>
      <c r="D6" s="3" t="s">
        <v>331</v>
      </c>
      <c r="E6" s="3" t="s">
        <v>324</v>
      </c>
      <c r="F6" s="3" t="s">
        <v>330</v>
      </c>
    </row>
    <row r="7" customFormat="false" ht="23.85" hidden="false" customHeight="false" outlineLevel="0" collapsed="false">
      <c r="A7" s="3" t="s">
        <v>317</v>
      </c>
      <c r="B7" s="3" t="s">
        <v>332</v>
      </c>
      <c r="C7" s="15" t="n">
        <v>798</v>
      </c>
      <c r="D7" s="3" t="s">
        <v>323</v>
      </c>
      <c r="E7" s="3" t="s">
        <v>324</v>
      </c>
      <c r="F7" s="3" t="s">
        <v>325</v>
      </c>
    </row>
    <row r="8" customFormat="false" ht="23.85" hidden="false" customHeight="false" outlineLevel="0" collapsed="false">
      <c r="A8" s="3" t="s">
        <v>317</v>
      </c>
      <c r="B8" s="3" t="s">
        <v>333</v>
      </c>
      <c r="C8" s="15" t="n">
        <v>708</v>
      </c>
      <c r="D8" s="3" t="s">
        <v>334</v>
      </c>
      <c r="E8" s="3" t="s">
        <v>324</v>
      </c>
      <c r="F8" s="3" t="s">
        <v>330</v>
      </c>
    </row>
    <row r="9" customFormat="false" ht="23.85" hidden="false" customHeight="false" outlineLevel="0" collapsed="false">
      <c r="A9" s="3" t="s">
        <v>317</v>
      </c>
      <c r="B9" s="3" t="s">
        <v>335</v>
      </c>
      <c r="C9" s="15" t="n">
        <v>673</v>
      </c>
      <c r="D9" s="3" t="s">
        <v>323</v>
      </c>
      <c r="E9" s="3" t="s">
        <v>324</v>
      </c>
      <c r="F9" s="3" t="s">
        <v>325</v>
      </c>
    </row>
    <row r="10" customFormat="false" ht="23.85" hidden="false" customHeight="false" outlineLevel="0" collapsed="false">
      <c r="A10" s="3" t="s">
        <v>317</v>
      </c>
      <c r="B10" s="3" t="s">
        <v>336</v>
      </c>
      <c r="C10" s="15" t="n">
        <v>621</v>
      </c>
      <c r="D10" s="3" t="s">
        <v>337</v>
      </c>
      <c r="E10" s="3" t="s">
        <v>324</v>
      </c>
      <c r="F10" s="3" t="s">
        <v>330</v>
      </c>
    </row>
    <row r="11" customFormat="false" ht="23.85" hidden="false" customHeight="false" outlineLevel="0" collapsed="false">
      <c r="A11" s="3" t="s">
        <v>317</v>
      </c>
      <c r="B11" s="3" t="s">
        <v>338</v>
      </c>
      <c r="C11" s="15" t="n">
        <v>616</v>
      </c>
      <c r="D11" s="3" t="s">
        <v>339</v>
      </c>
      <c r="E11" s="3" t="s">
        <v>324</v>
      </c>
      <c r="F11" s="3" t="s">
        <v>330</v>
      </c>
    </row>
    <row r="12" customFormat="false" ht="23.85" hidden="false" customHeight="false" outlineLevel="0" collapsed="false">
      <c r="A12" s="3" t="s">
        <v>317</v>
      </c>
      <c r="B12" s="3" t="s">
        <v>340</v>
      </c>
      <c r="C12" s="15" t="n">
        <v>558</v>
      </c>
      <c r="D12" s="3" t="s">
        <v>323</v>
      </c>
      <c r="E12" s="3" t="s">
        <v>324</v>
      </c>
      <c r="F12" s="3" t="s">
        <v>325</v>
      </c>
    </row>
    <row r="13" customFormat="false" ht="15" hidden="false" customHeight="false" outlineLevel="0" collapsed="false">
      <c r="A13" s="3" t="s">
        <v>317</v>
      </c>
      <c r="B13" s="3" t="s">
        <v>341</v>
      </c>
      <c r="C13" s="15" t="n">
        <v>5183</v>
      </c>
      <c r="D13" s="3" t="s">
        <v>342</v>
      </c>
      <c r="E13" s="3" t="s">
        <v>343</v>
      </c>
      <c r="F13" s="3" t="s">
        <v>344</v>
      </c>
    </row>
    <row r="14" customFormat="false" ht="15" hidden="false" customHeight="false" outlineLevel="0" collapsed="false">
      <c r="A14" s="3" t="s">
        <v>317</v>
      </c>
      <c r="B14" s="3" t="s">
        <v>345</v>
      </c>
      <c r="C14" s="15" t="n">
        <v>522</v>
      </c>
      <c r="D14" s="3" t="s">
        <v>346</v>
      </c>
      <c r="E14" s="3" t="s">
        <v>343</v>
      </c>
      <c r="F14" s="3" t="s">
        <v>347</v>
      </c>
    </row>
    <row r="15" customFormat="false" ht="23.85" hidden="false" customHeight="false" outlineLevel="0" collapsed="false">
      <c r="A15" s="3" t="s">
        <v>348</v>
      </c>
      <c r="B15" s="3" t="s">
        <v>318</v>
      </c>
      <c r="C15" s="15" t="n">
        <v>21592</v>
      </c>
      <c r="D15" s="3" t="s">
        <v>349</v>
      </c>
      <c r="E15" s="3" t="s">
        <v>350</v>
      </c>
      <c r="F15" s="3" t="s">
        <v>351</v>
      </c>
    </row>
    <row r="16" customFormat="false" ht="23.85" hidden="false" customHeight="false" outlineLevel="0" collapsed="false">
      <c r="A16" s="3" t="s">
        <v>348</v>
      </c>
      <c r="B16" s="3" t="s">
        <v>322</v>
      </c>
      <c r="C16" s="15" t="n">
        <v>1759</v>
      </c>
      <c r="D16" s="3" t="s">
        <v>352</v>
      </c>
      <c r="E16" s="3" t="s">
        <v>350</v>
      </c>
      <c r="F16" s="3" t="s">
        <v>353</v>
      </c>
    </row>
    <row r="17" customFormat="false" ht="23.85" hidden="false" customHeight="false" outlineLevel="0" collapsed="false">
      <c r="A17" s="3" t="s">
        <v>348</v>
      </c>
      <c r="B17" s="3" t="s">
        <v>354</v>
      </c>
      <c r="C17" s="15" t="n">
        <v>1436</v>
      </c>
      <c r="D17" s="3" t="s">
        <v>355</v>
      </c>
      <c r="E17" s="3" t="s">
        <v>350</v>
      </c>
      <c r="F17" s="3" t="s">
        <v>353</v>
      </c>
    </row>
    <row r="18" customFormat="false" ht="23.85" hidden="false" customHeight="false" outlineLevel="0" collapsed="false">
      <c r="A18" s="3" t="s">
        <v>348</v>
      </c>
      <c r="B18" s="3" t="s">
        <v>326</v>
      </c>
      <c r="C18" s="15" t="n">
        <v>1212</v>
      </c>
      <c r="D18" s="3" t="s">
        <v>356</v>
      </c>
      <c r="E18" s="3" t="s">
        <v>350</v>
      </c>
      <c r="F18" s="3" t="s">
        <v>353</v>
      </c>
    </row>
    <row r="19" customFormat="false" ht="23.85" hidden="false" customHeight="false" outlineLevel="0" collapsed="false">
      <c r="A19" s="3" t="s">
        <v>348</v>
      </c>
      <c r="B19" s="3" t="s">
        <v>120</v>
      </c>
      <c r="C19" s="15" t="n">
        <v>934</v>
      </c>
      <c r="D19" s="3" t="s">
        <v>357</v>
      </c>
      <c r="E19" s="3" t="s">
        <v>350</v>
      </c>
      <c r="F19" s="3" t="s">
        <v>353</v>
      </c>
    </row>
    <row r="20" customFormat="false" ht="23.85" hidden="false" customHeight="false" outlineLevel="0" collapsed="false">
      <c r="A20" s="3" t="s">
        <v>348</v>
      </c>
      <c r="B20" s="3" t="s">
        <v>328</v>
      </c>
      <c r="C20" s="15" t="n">
        <v>797</v>
      </c>
      <c r="D20" s="3" t="s">
        <v>358</v>
      </c>
      <c r="E20" s="3" t="s">
        <v>350</v>
      </c>
      <c r="F20" s="3" t="s">
        <v>353</v>
      </c>
    </row>
    <row r="21" customFormat="false" ht="23.85" hidden="false" customHeight="false" outlineLevel="0" collapsed="false">
      <c r="A21" s="3" t="s">
        <v>348</v>
      </c>
      <c r="B21" s="3" t="s">
        <v>332</v>
      </c>
      <c r="C21" s="15" t="n">
        <v>787</v>
      </c>
      <c r="D21" s="3" t="s">
        <v>359</v>
      </c>
      <c r="E21" s="3" t="s">
        <v>350</v>
      </c>
      <c r="F21" s="3" t="s">
        <v>353</v>
      </c>
    </row>
    <row r="22" customFormat="false" ht="23.85" hidden="false" customHeight="false" outlineLevel="0" collapsed="false">
      <c r="A22" s="3" t="s">
        <v>348</v>
      </c>
      <c r="B22" s="3" t="s">
        <v>335</v>
      </c>
      <c r="C22" s="15" t="n">
        <v>720</v>
      </c>
      <c r="D22" s="3" t="s">
        <v>360</v>
      </c>
      <c r="E22" s="3" t="s">
        <v>350</v>
      </c>
      <c r="F22" s="3" t="s">
        <v>353</v>
      </c>
    </row>
    <row r="23" customFormat="false" ht="23.85" hidden="false" customHeight="false" outlineLevel="0" collapsed="false">
      <c r="A23" s="3" t="s">
        <v>348</v>
      </c>
      <c r="B23" s="3" t="s">
        <v>336</v>
      </c>
      <c r="C23" s="15" t="n">
        <v>714</v>
      </c>
      <c r="D23" s="3" t="s">
        <v>361</v>
      </c>
      <c r="E23" s="3" t="s">
        <v>350</v>
      </c>
      <c r="F23" s="3" t="s">
        <v>353</v>
      </c>
    </row>
    <row r="24" customFormat="false" ht="23.85" hidden="false" customHeight="false" outlineLevel="0" collapsed="false">
      <c r="A24" s="3" t="s">
        <v>348</v>
      </c>
      <c r="B24" s="3" t="s">
        <v>333</v>
      </c>
      <c r="C24" s="15" t="n">
        <v>618</v>
      </c>
      <c r="D24" s="3" t="s">
        <v>362</v>
      </c>
      <c r="E24" s="3" t="s">
        <v>350</v>
      </c>
      <c r="F24" s="3" t="s">
        <v>353</v>
      </c>
    </row>
    <row r="25" customFormat="false" ht="23.85" hidden="false" customHeight="false" outlineLevel="0" collapsed="false">
      <c r="A25" s="3" t="s">
        <v>348</v>
      </c>
      <c r="B25" s="3" t="s">
        <v>338</v>
      </c>
      <c r="C25" s="15" t="n">
        <v>594</v>
      </c>
      <c r="D25" s="3" t="s">
        <v>363</v>
      </c>
      <c r="E25" s="3" t="s">
        <v>350</v>
      </c>
      <c r="F25" s="3" t="s">
        <v>353</v>
      </c>
    </row>
    <row r="26" customFormat="false" ht="23.85" hidden="false" customHeight="false" outlineLevel="0" collapsed="false">
      <c r="A26" s="3" t="s">
        <v>348</v>
      </c>
      <c r="B26" s="3" t="s">
        <v>364</v>
      </c>
      <c r="C26" s="3" t="s">
        <v>365</v>
      </c>
      <c r="D26" s="3" t="s">
        <v>148</v>
      </c>
      <c r="E26" s="3" t="s">
        <v>350</v>
      </c>
      <c r="F26" s="3" t="s">
        <v>366</v>
      </c>
    </row>
    <row r="27" customFormat="false" ht="23.85" hidden="false" customHeight="false" outlineLevel="0" collapsed="false">
      <c r="A27" s="3" t="s">
        <v>348</v>
      </c>
      <c r="B27" s="3" t="s">
        <v>341</v>
      </c>
      <c r="C27" s="15" t="n">
        <v>4739</v>
      </c>
      <c r="D27" s="3" t="s">
        <v>367</v>
      </c>
      <c r="E27" s="3" t="s">
        <v>350</v>
      </c>
      <c r="F27" s="3" t="s">
        <v>368</v>
      </c>
    </row>
    <row r="28" customFormat="false" ht="23.85" hidden="false" customHeight="false" outlineLevel="0" collapsed="false">
      <c r="A28" s="3" t="s">
        <v>369</v>
      </c>
      <c r="B28" s="3" t="s">
        <v>318</v>
      </c>
      <c r="C28" s="15" t="n">
        <v>30366</v>
      </c>
      <c r="D28" s="3" t="s">
        <v>370</v>
      </c>
      <c r="E28" s="3" t="s">
        <v>129</v>
      </c>
      <c r="F28" s="3" t="s">
        <v>371</v>
      </c>
    </row>
    <row r="29" customFormat="false" ht="23.85" hidden="false" customHeight="false" outlineLevel="0" collapsed="false">
      <c r="A29" s="3" t="s">
        <v>369</v>
      </c>
      <c r="B29" s="3" t="s">
        <v>372</v>
      </c>
      <c r="C29" s="15" t="n">
        <v>7082</v>
      </c>
      <c r="D29" s="3" t="s">
        <v>373</v>
      </c>
      <c r="E29" s="3" t="s">
        <v>129</v>
      </c>
      <c r="F29" s="3" t="s">
        <v>374</v>
      </c>
    </row>
    <row r="30" customFormat="false" ht="23.85" hidden="false" customHeight="false" outlineLevel="0" collapsed="false">
      <c r="A30" s="3" t="s">
        <v>369</v>
      </c>
      <c r="B30" s="3" t="s">
        <v>322</v>
      </c>
      <c r="C30" s="15" t="n">
        <v>2298</v>
      </c>
      <c r="D30" s="3" t="s">
        <v>375</v>
      </c>
      <c r="E30" s="3" t="s">
        <v>129</v>
      </c>
      <c r="F30" s="3" t="s">
        <v>376</v>
      </c>
    </row>
    <row r="31" customFormat="false" ht="23.85" hidden="false" customHeight="false" outlineLevel="0" collapsed="false">
      <c r="A31" s="3" t="s">
        <v>369</v>
      </c>
      <c r="B31" s="3" t="s">
        <v>326</v>
      </c>
      <c r="C31" s="15" t="n">
        <v>1581</v>
      </c>
      <c r="D31" s="3" t="s">
        <v>377</v>
      </c>
      <c r="E31" s="3" t="s">
        <v>129</v>
      </c>
      <c r="F31" s="3" t="s">
        <v>378</v>
      </c>
    </row>
    <row r="32" customFormat="false" ht="23.85" hidden="false" customHeight="false" outlineLevel="0" collapsed="false">
      <c r="A32" s="3" t="s">
        <v>369</v>
      </c>
      <c r="B32" s="3" t="s">
        <v>332</v>
      </c>
      <c r="C32" s="15" t="n">
        <v>1119</v>
      </c>
      <c r="D32" s="3" t="s">
        <v>379</v>
      </c>
      <c r="E32" s="3" t="s">
        <v>129</v>
      </c>
      <c r="F32" s="3" t="s">
        <v>376</v>
      </c>
    </row>
    <row r="33" customFormat="false" ht="23.85" hidden="false" customHeight="false" outlineLevel="0" collapsed="false">
      <c r="A33" s="3" t="s">
        <v>369</v>
      </c>
      <c r="B33" s="3" t="s">
        <v>328</v>
      </c>
      <c r="C33" s="15" t="n">
        <v>994</v>
      </c>
      <c r="D33" s="3" t="s">
        <v>380</v>
      </c>
      <c r="E33" s="3" t="s">
        <v>129</v>
      </c>
      <c r="F33" s="3" t="s">
        <v>376</v>
      </c>
    </row>
    <row r="34" customFormat="false" ht="23.85" hidden="false" customHeight="false" outlineLevel="0" collapsed="false">
      <c r="A34" s="3" t="s">
        <v>369</v>
      </c>
      <c r="B34" s="3" t="s">
        <v>336</v>
      </c>
      <c r="C34" s="15" t="n">
        <v>940</v>
      </c>
      <c r="D34" s="3" t="s">
        <v>381</v>
      </c>
      <c r="E34" s="3" t="s">
        <v>129</v>
      </c>
      <c r="F34" s="3" t="s">
        <v>376</v>
      </c>
    </row>
    <row r="35" customFormat="false" ht="23.85" hidden="false" customHeight="false" outlineLevel="0" collapsed="false">
      <c r="A35" s="3" t="s">
        <v>369</v>
      </c>
      <c r="B35" s="3" t="s">
        <v>335</v>
      </c>
      <c r="C35" s="15" t="n">
        <v>932</v>
      </c>
      <c r="D35" s="3" t="s">
        <v>382</v>
      </c>
      <c r="E35" s="3" t="s">
        <v>129</v>
      </c>
      <c r="F35" s="3" t="s">
        <v>376</v>
      </c>
    </row>
    <row r="36" customFormat="false" ht="23.85" hidden="false" customHeight="false" outlineLevel="0" collapsed="false">
      <c r="A36" s="3" t="s">
        <v>369</v>
      </c>
      <c r="B36" s="3" t="s">
        <v>338</v>
      </c>
      <c r="C36" s="15" t="n">
        <v>687</v>
      </c>
      <c r="D36" s="3" t="s">
        <v>383</v>
      </c>
      <c r="E36" s="3" t="s">
        <v>129</v>
      </c>
      <c r="F36" s="3" t="s">
        <v>376</v>
      </c>
    </row>
    <row r="37" customFormat="false" ht="23.85" hidden="false" customHeight="false" outlineLevel="0" collapsed="false">
      <c r="A37" s="3" t="s">
        <v>369</v>
      </c>
      <c r="B37" s="3" t="s">
        <v>345</v>
      </c>
      <c r="C37" s="15" t="n">
        <v>609</v>
      </c>
      <c r="D37" s="3" t="s">
        <v>384</v>
      </c>
      <c r="E37" s="3" t="s">
        <v>129</v>
      </c>
      <c r="F37" s="3" t="s">
        <v>376</v>
      </c>
    </row>
    <row r="38" customFormat="false" ht="23.85" hidden="false" customHeight="false" outlineLevel="0" collapsed="false">
      <c r="A38" s="3" t="s">
        <v>369</v>
      </c>
      <c r="B38" s="3" t="s">
        <v>385</v>
      </c>
      <c r="C38" s="15" t="n">
        <v>550</v>
      </c>
      <c r="D38" s="3" t="s">
        <v>386</v>
      </c>
      <c r="E38" s="3" t="s">
        <v>129</v>
      </c>
      <c r="F38" s="3" t="s">
        <v>376</v>
      </c>
    </row>
    <row r="39" customFormat="false" ht="23.85" hidden="false" customHeight="false" outlineLevel="0" collapsed="false">
      <c r="A39" s="3" t="s">
        <v>369</v>
      </c>
      <c r="B39" s="3" t="s">
        <v>387</v>
      </c>
      <c r="C39" s="15" t="n">
        <v>248</v>
      </c>
      <c r="D39" s="3" t="s">
        <v>388</v>
      </c>
      <c r="E39" s="3" t="s">
        <v>129</v>
      </c>
      <c r="F39" s="3" t="s">
        <v>389</v>
      </c>
    </row>
    <row r="40" customFormat="false" ht="23.85" hidden="false" customHeight="false" outlineLevel="0" collapsed="false">
      <c r="A40" s="3" t="s">
        <v>369</v>
      </c>
      <c r="B40" s="3" t="s">
        <v>390</v>
      </c>
      <c r="C40" s="3" t="s">
        <v>391</v>
      </c>
      <c r="D40" s="3" t="s">
        <v>148</v>
      </c>
      <c r="E40" s="3" t="s">
        <v>129</v>
      </c>
      <c r="F40" s="3" t="s">
        <v>389</v>
      </c>
    </row>
    <row r="41" customFormat="false" ht="23.85" hidden="false" customHeight="false" outlineLevel="0" collapsed="false">
      <c r="A41" s="3" t="s">
        <v>369</v>
      </c>
      <c r="B41" s="3" t="s">
        <v>392</v>
      </c>
      <c r="C41" s="3" t="s">
        <v>393</v>
      </c>
      <c r="D41" s="3" t="s">
        <v>148</v>
      </c>
      <c r="E41" s="3" t="s">
        <v>129</v>
      </c>
      <c r="F41" s="3" t="s">
        <v>394</v>
      </c>
    </row>
    <row r="42" customFormat="false" ht="169.4" hidden="false" customHeight="false" outlineLevel="0" collapsed="false">
      <c r="A42" s="3" t="s">
        <v>369</v>
      </c>
      <c r="B42" s="3" t="s">
        <v>395</v>
      </c>
      <c r="C42" s="3" t="s">
        <v>396</v>
      </c>
      <c r="D42" s="3" t="s">
        <v>397</v>
      </c>
      <c r="E42" s="3" t="s">
        <v>129</v>
      </c>
      <c r="F42" s="3" t="s">
        <v>398</v>
      </c>
    </row>
    <row r="43" customFormat="false" ht="35.05" hidden="false" customHeight="false" outlineLevel="0" collapsed="false">
      <c r="A43" s="3" t="s">
        <v>369</v>
      </c>
      <c r="B43" s="3" t="s">
        <v>399</v>
      </c>
      <c r="C43" s="3" t="s">
        <v>400</v>
      </c>
      <c r="D43" s="3" t="s">
        <v>401</v>
      </c>
      <c r="E43" s="3" t="s">
        <v>129</v>
      </c>
      <c r="F43" s="3" t="s">
        <v>402</v>
      </c>
    </row>
    <row r="44" customFormat="false" ht="23.85" hidden="false" customHeight="false" outlineLevel="0" collapsed="false">
      <c r="A44" s="3" t="s">
        <v>369</v>
      </c>
      <c r="B44" s="3" t="s">
        <v>403</v>
      </c>
      <c r="C44" s="3" t="s">
        <v>404</v>
      </c>
      <c r="D44" s="3" t="s">
        <v>405</v>
      </c>
      <c r="E44" s="3" t="s">
        <v>129</v>
      </c>
      <c r="F44" s="3" t="s">
        <v>406</v>
      </c>
    </row>
    <row r="45" customFormat="false" ht="23.85" hidden="false" customHeight="false" outlineLevel="0" collapsed="false">
      <c r="A45" s="3" t="s">
        <v>369</v>
      </c>
      <c r="B45" s="3" t="s">
        <v>407</v>
      </c>
      <c r="C45" s="3" t="s">
        <v>408</v>
      </c>
      <c r="D45" s="3" t="s">
        <v>409</v>
      </c>
      <c r="E45" s="3" t="s">
        <v>129</v>
      </c>
      <c r="F45" s="3" t="s">
        <v>406</v>
      </c>
    </row>
    <row r="46" customFormat="false" ht="23.85" hidden="false" customHeight="false" outlineLevel="0" collapsed="false">
      <c r="A46" s="3" t="s">
        <v>369</v>
      </c>
      <c r="B46" s="3" t="s">
        <v>410</v>
      </c>
      <c r="C46" s="3" t="s">
        <v>411</v>
      </c>
      <c r="D46" s="3" t="s">
        <v>412</v>
      </c>
      <c r="E46" s="3" t="s">
        <v>129</v>
      </c>
      <c r="F46" s="3" t="s">
        <v>413</v>
      </c>
    </row>
    <row r="47" customFormat="false" ht="23.85" hidden="false" customHeight="false" outlineLevel="0" collapsed="false">
      <c r="A47" s="3" t="s">
        <v>369</v>
      </c>
      <c r="B47" s="3" t="s">
        <v>414</v>
      </c>
      <c r="C47" s="3" t="s">
        <v>415</v>
      </c>
      <c r="D47" s="3" t="s">
        <v>416</v>
      </c>
      <c r="E47" s="3" t="s">
        <v>129</v>
      </c>
      <c r="F47" s="3" t="s">
        <v>417</v>
      </c>
    </row>
    <row r="48" customFormat="false" ht="35.05" hidden="false" customHeight="false" outlineLevel="0" collapsed="false">
      <c r="A48" s="3" t="s">
        <v>369</v>
      </c>
      <c r="B48" s="3" t="s">
        <v>418</v>
      </c>
      <c r="C48" s="3" t="s">
        <v>419</v>
      </c>
      <c r="D48" s="3" t="s">
        <v>148</v>
      </c>
      <c r="E48" s="3" t="s">
        <v>129</v>
      </c>
      <c r="F48" s="3" t="s">
        <v>420</v>
      </c>
    </row>
    <row r="49" customFormat="false" ht="23.85" hidden="false" customHeight="false" outlineLevel="0" collapsed="false">
      <c r="A49" s="3" t="s">
        <v>421</v>
      </c>
      <c r="B49" s="3" t="s">
        <v>422</v>
      </c>
      <c r="C49" s="15" t="n">
        <v>937</v>
      </c>
      <c r="D49" s="3" t="s">
        <v>423</v>
      </c>
      <c r="E49" s="3" t="s">
        <v>187</v>
      </c>
      <c r="F49" s="3" t="s">
        <v>424</v>
      </c>
    </row>
    <row r="50" customFormat="false" ht="57.45" hidden="false" customHeight="false" outlineLevel="0" collapsed="false">
      <c r="A50" s="3" t="s">
        <v>425</v>
      </c>
      <c r="B50" s="3" t="s">
        <v>426</v>
      </c>
      <c r="C50" s="15" t="n">
        <v>12882</v>
      </c>
      <c r="D50" s="3" t="s">
        <v>427</v>
      </c>
      <c r="E50" s="3" t="s">
        <v>428</v>
      </c>
      <c r="F50" s="3" t="s">
        <v>429</v>
      </c>
    </row>
    <row r="52" customFormat="false" ht="90" hidden="false" customHeight="true" outlineLevel="0" collapsed="false">
      <c r="A52" s="16" t="s">
        <v>430</v>
      </c>
      <c r="B52" s="16"/>
      <c r="C52" s="16"/>
      <c r="D52" s="16"/>
      <c r="E52" s="16"/>
      <c r="F52" s="16"/>
    </row>
  </sheetData>
  <mergeCells count="1">
    <mergeCell ref="A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2" t="s">
        <v>431</v>
      </c>
    </row>
    <row r="2" customFormat="false" ht="45" hidden="false" customHeight="true" outlineLevel="0" collapsed="false">
      <c r="A2" s="16" t="s">
        <v>432</v>
      </c>
      <c r="B2" s="16"/>
      <c r="C2" s="16"/>
      <c r="D2" s="16"/>
      <c r="E2" s="16"/>
    </row>
    <row r="3" customFormat="false" ht="15" hidden="false" customHeight="false" outlineLevel="0" collapsed="false">
      <c r="A3" s="1" t="s">
        <v>11</v>
      </c>
      <c r="B3" s="1" t="s">
        <v>433</v>
      </c>
      <c r="C3" s="1" t="s">
        <v>434</v>
      </c>
      <c r="D3" s="1" t="s">
        <v>435</v>
      </c>
      <c r="E3" s="1" t="s">
        <v>436</v>
      </c>
    </row>
    <row r="4" customFormat="false" ht="15" hidden="false" customHeight="false" outlineLevel="0" collapsed="false">
      <c r="A4" s="3" t="n">
        <v>1</v>
      </c>
      <c r="B4" s="3" t="s">
        <v>437</v>
      </c>
      <c r="C4" s="15" t="n">
        <v>7470000</v>
      </c>
      <c r="D4" s="3" t="s">
        <v>438</v>
      </c>
      <c r="E4" s="3"/>
    </row>
    <row r="5" customFormat="false" ht="15" hidden="false" customHeight="false" outlineLevel="0" collapsed="false">
      <c r="A5" s="3" t="n">
        <v>2</v>
      </c>
      <c r="B5" s="3" t="s">
        <v>439</v>
      </c>
      <c r="C5" s="15" t="n">
        <v>3210000</v>
      </c>
      <c r="D5" s="3" t="s">
        <v>438</v>
      </c>
      <c r="E5" s="3" t="s">
        <v>440</v>
      </c>
    </row>
    <row r="6" customFormat="false" ht="15" hidden="false" customHeight="false" outlineLevel="0" collapsed="false">
      <c r="A6" s="3" t="n">
        <v>3</v>
      </c>
      <c r="B6" s="3" t="s">
        <v>441</v>
      </c>
      <c r="C6" s="15" t="n">
        <v>2970000</v>
      </c>
      <c r="D6" s="3" t="s">
        <v>438</v>
      </c>
      <c r="E6" s="3" t="s">
        <v>442</v>
      </c>
    </row>
    <row r="7" customFormat="false" ht="15" hidden="false" customHeight="false" outlineLevel="0" collapsed="false">
      <c r="A7" s="3" t="n">
        <v>4</v>
      </c>
      <c r="B7" s="3" t="s">
        <v>443</v>
      </c>
      <c r="C7" s="15" t="n">
        <v>1960000</v>
      </c>
      <c r="D7" s="3" t="s">
        <v>438</v>
      </c>
      <c r="E7" s="3" t="s">
        <v>444</v>
      </c>
    </row>
    <row r="8" customFormat="false" ht="15" hidden="false" customHeight="false" outlineLevel="0" collapsed="false">
      <c r="A8" s="3" t="n">
        <v>5</v>
      </c>
      <c r="B8" s="3" t="s">
        <v>445</v>
      </c>
      <c r="C8" s="15" t="n">
        <v>1770000</v>
      </c>
      <c r="D8" s="3" t="s">
        <v>446</v>
      </c>
      <c r="E8" s="3" t="s">
        <v>447</v>
      </c>
    </row>
    <row r="9" customFormat="false" ht="15" hidden="false" customHeight="false" outlineLevel="0" collapsed="false">
      <c r="A9" s="3" t="n">
        <v>6</v>
      </c>
      <c r="B9" s="3" t="s">
        <v>448</v>
      </c>
      <c r="C9" s="15" t="n">
        <v>1320000</v>
      </c>
      <c r="D9" s="3" t="s">
        <v>446</v>
      </c>
      <c r="E9" s="3" t="s">
        <v>449</v>
      </c>
    </row>
    <row r="10" customFormat="false" ht="15" hidden="false" customHeight="false" outlineLevel="0" collapsed="false">
      <c r="A10" s="3" t="n">
        <v>7</v>
      </c>
      <c r="B10" s="3" t="s">
        <v>450</v>
      </c>
      <c r="C10" s="15" t="n">
        <v>1280000</v>
      </c>
      <c r="D10" s="3" t="s">
        <v>451</v>
      </c>
      <c r="E10" s="3"/>
    </row>
    <row r="11" customFormat="false" ht="15" hidden="false" customHeight="false" outlineLevel="0" collapsed="false">
      <c r="A11" s="3" t="n">
        <v>8</v>
      </c>
      <c r="B11" s="3" t="s">
        <v>452</v>
      </c>
      <c r="C11" s="15" t="n">
        <v>1160000</v>
      </c>
      <c r="D11" s="3" t="s">
        <v>453</v>
      </c>
      <c r="E11" s="3" t="s">
        <v>454</v>
      </c>
    </row>
    <row r="12" customFormat="false" ht="15" hidden="false" customHeight="false" outlineLevel="0" collapsed="false">
      <c r="A12" s="3" t="n">
        <v>9</v>
      </c>
      <c r="B12" s="3" t="s">
        <v>455</v>
      </c>
      <c r="C12" s="15" t="n">
        <v>1130000</v>
      </c>
      <c r="D12" s="3" t="s">
        <v>456</v>
      </c>
      <c r="E12" s="3" t="s">
        <v>457</v>
      </c>
    </row>
    <row r="13" customFormat="false" ht="15" hidden="false" customHeight="false" outlineLevel="0" collapsed="false">
      <c r="A13" s="3" t="n">
        <v>10</v>
      </c>
      <c r="B13" s="3" t="s">
        <v>458</v>
      </c>
      <c r="C13" s="15" t="n">
        <v>1080000</v>
      </c>
      <c r="D13" s="3" t="s">
        <v>459</v>
      </c>
      <c r="E13" s="3" t="s">
        <v>460</v>
      </c>
    </row>
    <row r="14" customFormat="false" ht="15" hidden="false" customHeight="false" outlineLevel="0" collapsed="false">
      <c r="A14" s="3" t="n">
        <v>11</v>
      </c>
      <c r="B14" s="3" t="s">
        <v>461</v>
      </c>
      <c r="C14" s="15" t="n">
        <v>1070000</v>
      </c>
      <c r="D14" s="3" t="s">
        <v>462</v>
      </c>
      <c r="E14" s="3"/>
    </row>
    <row r="15" customFormat="false" ht="15" hidden="false" customHeight="false" outlineLevel="0" collapsed="false">
      <c r="A15" s="3" t="n">
        <v>12</v>
      </c>
      <c r="B15" s="3" t="s">
        <v>463</v>
      </c>
      <c r="C15" s="15" t="n">
        <v>1060000</v>
      </c>
      <c r="D15" s="3" t="s">
        <v>451</v>
      </c>
      <c r="E15" s="3" t="s">
        <v>464</v>
      </c>
    </row>
    <row r="16" customFormat="false" ht="15" hidden="false" customHeight="false" outlineLevel="0" collapsed="false">
      <c r="A16" s="3" t="n">
        <v>13</v>
      </c>
      <c r="B16" s="3" t="s">
        <v>465</v>
      </c>
      <c r="C16" s="15" t="n">
        <v>1050000</v>
      </c>
      <c r="D16" s="3" t="s">
        <v>466</v>
      </c>
      <c r="E16" s="3" t="s">
        <v>467</v>
      </c>
    </row>
    <row r="17" customFormat="false" ht="15" hidden="false" customHeight="false" outlineLevel="0" collapsed="false">
      <c r="A17" s="3" t="n">
        <v>14</v>
      </c>
      <c r="B17" s="3" t="s">
        <v>468</v>
      </c>
      <c r="C17" s="15" t="n">
        <v>1030000</v>
      </c>
      <c r="D17" s="3" t="s">
        <v>469</v>
      </c>
      <c r="E17" s="3" t="s">
        <v>470</v>
      </c>
    </row>
    <row r="18" customFormat="false" ht="15" hidden="false" customHeight="false" outlineLevel="0" collapsed="false">
      <c r="A18" s="3" t="n">
        <v>15</v>
      </c>
      <c r="B18" s="3" t="s">
        <v>471</v>
      </c>
      <c r="C18" s="15" t="n">
        <v>950000</v>
      </c>
      <c r="D18" s="3" t="s">
        <v>472</v>
      </c>
      <c r="E18" s="3" t="s">
        <v>473</v>
      </c>
    </row>
    <row r="19" customFormat="false" ht="15" hidden="false" customHeight="false" outlineLevel="0" collapsed="false">
      <c r="A19" s="3" t="n">
        <v>16</v>
      </c>
      <c r="B19" s="3" t="s">
        <v>474</v>
      </c>
      <c r="C19" s="15" t="n">
        <v>930000</v>
      </c>
      <c r="D19" s="3" t="s">
        <v>462</v>
      </c>
      <c r="E19" s="3"/>
    </row>
    <row r="20" customFormat="false" ht="15" hidden="false" customHeight="false" outlineLevel="0" collapsed="false">
      <c r="A20" s="3" t="n">
        <v>17</v>
      </c>
      <c r="B20" s="3" t="s">
        <v>475</v>
      </c>
      <c r="C20" s="15" t="n">
        <v>700000</v>
      </c>
      <c r="D20" s="3" t="s">
        <v>438</v>
      </c>
      <c r="E20" s="3"/>
    </row>
    <row r="21" customFormat="false" ht="15" hidden="false" customHeight="false" outlineLevel="0" collapsed="false">
      <c r="A21" s="3" t="n">
        <v>18</v>
      </c>
      <c r="B21" s="3" t="s">
        <v>476</v>
      </c>
      <c r="C21" s="15" t="n">
        <v>600000</v>
      </c>
      <c r="D21" s="3" t="s">
        <v>446</v>
      </c>
      <c r="E21" s="3"/>
    </row>
    <row r="22" customFormat="false" ht="15" hidden="false" customHeight="false" outlineLevel="0" collapsed="false">
      <c r="A22" s="3" t="n">
        <v>19</v>
      </c>
      <c r="B22" s="3" t="s">
        <v>477</v>
      </c>
      <c r="C22" s="15" t="n">
        <v>540000</v>
      </c>
      <c r="D22" s="3" t="s">
        <v>462</v>
      </c>
      <c r="E22" s="3"/>
    </row>
    <row r="23" customFormat="false" ht="15" hidden="false" customHeight="false" outlineLevel="0" collapsed="false">
      <c r="A23" s="3" t="n">
        <v>20</v>
      </c>
      <c r="B23" s="3" t="s">
        <v>478</v>
      </c>
      <c r="C23" s="15" t="n">
        <v>500000</v>
      </c>
      <c r="D23" s="3" t="s">
        <v>438</v>
      </c>
      <c r="E23" s="3"/>
    </row>
    <row r="25" customFormat="false" ht="15" hidden="false" customHeight="false" outlineLevel="0" collapsed="false">
      <c r="A25" s="12" t="s">
        <v>479</v>
      </c>
    </row>
    <row r="26" customFormat="false" ht="15" hidden="false" customHeight="false" outlineLevel="0" collapsed="false">
      <c r="A26" s="13" t="n">
        <v>1</v>
      </c>
      <c r="B26" s="13" t="s">
        <v>480</v>
      </c>
      <c r="C26" s="17" t="n">
        <v>480000</v>
      </c>
    </row>
    <row r="27" customFormat="false" ht="15" hidden="false" customHeight="false" outlineLevel="0" collapsed="false">
      <c r="A27" s="13" t="n">
        <v>2</v>
      </c>
      <c r="B27" s="13" t="s">
        <v>481</v>
      </c>
      <c r="C27" s="17" t="n">
        <v>400000</v>
      </c>
    </row>
    <row r="28" customFormat="false" ht="15" hidden="false" customHeight="false" outlineLevel="0" collapsed="false">
      <c r="A28" s="13" t="n">
        <v>3</v>
      </c>
      <c r="B28" s="13" t="s">
        <v>482</v>
      </c>
      <c r="C28" s="17" t="n">
        <v>386000</v>
      </c>
    </row>
    <row r="29" customFormat="false" ht="15" hidden="false" customHeight="false" outlineLevel="0" collapsed="false">
      <c r="A29" s="13" t="n">
        <v>4</v>
      </c>
      <c r="B29" s="13" t="s">
        <v>483</v>
      </c>
      <c r="C29" s="17" t="n">
        <v>250000</v>
      </c>
    </row>
    <row r="30" customFormat="false" ht="15" hidden="false" customHeight="false" outlineLevel="0" collapsed="false">
      <c r="A30" s="13" t="n">
        <v>5</v>
      </c>
      <c r="B30" s="13" t="s">
        <v>484</v>
      </c>
      <c r="C30" s="17" t="n">
        <v>221000</v>
      </c>
    </row>
    <row r="31" customFormat="false" ht="15" hidden="false" customHeight="false" outlineLevel="0" collapsed="false">
      <c r="A31" s="13" t="n">
        <v>6</v>
      </c>
      <c r="B31" s="13" t="s">
        <v>485</v>
      </c>
      <c r="C31" s="17" t="n">
        <v>215000</v>
      </c>
    </row>
    <row r="32" customFormat="false" ht="15" hidden="false" customHeight="false" outlineLevel="0" collapsed="false">
      <c r="A32" s="13" t="n">
        <v>7</v>
      </c>
      <c r="B32" s="13" t="s">
        <v>486</v>
      </c>
      <c r="C32" s="17" t="n">
        <v>203000</v>
      </c>
    </row>
    <row r="33" customFormat="false" ht="15" hidden="false" customHeight="false" outlineLevel="0" collapsed="false">
      <c r="A33" s="13" t="n">
        <v>8</v>
      </c>
      <c r="B33" s="13" t="s">
        <v>487</v>
      </c>
      <c r="C33" s="17" t="n">
        <v>190000</v>
      </c>
    </row>
    <row r="34" customFormat="false" ht="15" hidden="false" customHeight="false" outlineLevel="0" collapsed="false">
      <c r="A34" s="13" t="n">
        <v>9</v>
      </c>
      <c r="B34" s="13" t="s">
        <v>488</v>
      </c>
      <c r="C34" s="17" t="n">
        <v>180000</v>
      </c>
    </row>
    <row r="35" customFormat="false" ht="15" hidden="false" customHeight="false" outlineLevel="0" collapsed="false">
      <c r="A35" s="13" t="n">
        <v>10</v>
      </c>
      <c r="B35" s="13" t="s">
        <v>489</v>
      </c>
      <c r="C35" s="17" t="n">
        <v>180000</v>
      </c>
    </row>
    <row r="37" customFormat="false" ht="48" hidden="false" customHeight="true" outlineLevel="0" collapsed="false">
      <c r="A37" s="16" t="s">
        <v>490</v>
      </c>
      <c r="B37" s="16"/>
      <c r="C37" s="16"/>
      <c r="D37" s="16"/>
      <c r="E37" s="16"/>
    </row>
    <row r="38" customFormat="false" ht="48" hidden="false" customHeight="true" outlineLevel="0" collapsed="false">
      <c r="A38" s="16" t="s">
        <v>491</v>
      </c>
      <c r="B38" s="16"/>
      <c r="C38" s="16"/>
      <c r="D38" s="16"/>
      <c r="E38" s="16"/>
    </row>
    <row r="39" customFormat="false" ht="48" hidden="false" customHeight="true" outlineLevel="0" collapsed="false">
      <c r="A39" s="16" t="s">
        <v>492</v>
      </c>
      <c r="B39" s="16"/>
      <c r="C39" s="16"/>
      <c r="D39" s="16"/>
      <c r="E39" s="16"/>
    </row>
    <row r="40" customFormat="false" ht="48" hidden="false" customHeight="true" outlineLevel="0" collapsed="false">
      <c r="A40" s="16" t="s">
        <v>493</v>
      </c>
      <c r="B40" s="16"/>
      <c r="C40" s="16"/>
      <c r="D40" s="16"/>
      <c r="E40" s="16"/>
    </row>
  </sheetData>
  <mergeCells count="5">
    <mergeCell ref="A2:E2"/>
    <mergeCell ref="A37:E37"/>
    <mergeCell ref="A38:E38"/>
    <mergeCell ref="A39:E39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44"/>
    <col collapsed="false" customWidth="true" hidden="false" outlineLevel="0" max="6" min="6" style="0" width="30"/>
    <col collapsed="false" customWidth="true" hidden="false" outlineLevel="0" max="7" min="7" style="0" width="60"/>
    <col collapsed="false" customWidth="true" hidden="false" outlineLevel="0" max="8" min="8" style="0" width="12"/>
  </cols>
  <sheetData>
    <row r="1" customFormat="false" ht="23.85" hidden="false" customHeight="false" outlineLevel="0" collapsed="false">
      <c r="A1" s="1" t="s">
        <v>0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6</v>
      </c>
      <c r="G1" s="1" t="s">
        <v>20</v>
      </c>
      <c r="H1" s="1" t="s">
        <v>498</v>
      </c>
    </row>
    <row r="2" customFormat="false" ht="23.85" hidden="false" customHeight="false" outlineLevel="0" collapsed="false">
      <c r="A2" s="3" t="n">
        <v>1</v>
      </c>
      <c r="B2" s="3" t="s">
        <v>499</v>
      </c>
      <c r="C2" s="3" t="s">
        <v>500</v>
      </c>
      <c r="D2" s="3" t="s">
        <v>501</v>
      </c>
      <c r="E2" s="3" t="s">
        <v>502</v>
      </c>
      <c r="F2" s="3" t="s">
        <v>503</v>
      </c>
      <c r="G2" s="3" t="s">
        <v>428</v>
      </c>
      <c r="H2" s="3" t="s">
        <v>504</v>
      </c>
    </row>
    <row r="3" customFormat="false" ht="23.85" hidden="false" customHeight="false" outlineLevel="0" collapsed="false">
      <c r="A3" s="3" t="n">
        <v>2</v>
      </c>
      <c r="B3" s="3" t="s">
        <v>505</v>
      </c>
      <c r="C3" s="3" t="s">
        <v>506</v>
      </c>
      <c r="D3" s="3" t="s">
        <v>507</v>
      </c>
      <c r="E3" s="3" t="s">
        <v>508</v>
      </c>
      <c r="F3" s="3" t="s">
        <v>509</v>
      </c>
      <c r="G3" s="3" t="s">
        <v>510</v>
      </c>
      <c r="H3" s="3" t="s">
        <v>511</v>
      </c>
    </row>
    <row r="4" customFormat="false" ht="23.85" hidden="false" customHeight="false" outlineLevel="0" collapsed="false">
      <c r="A4" s="3" t="n">
        <v>3</v>
      </c>
      <c r="B4" s="3" t="s">
        <v>512</v>
      </c>
      <c r="C4" s="3" t="s">
        <v>506</v>
      </c>
      <c r="D4" s="3" t="s">
        <v>507</v>
      </c>
      <c r="E4" s="3" t="s">
        <v>513</v>
      </c>
      <c r="F4" s="3" t="s">
        <v>338</v>
      </c>
      <c r="G4" s="3" t="s">
        <v>514</v>
      </c>
      <c r="H4" s="3" t="s">
        <v>511</v>
      </c>
    </row>
    <row r="5" customFormat="false" ht="23.85" hidden="false" customHeight="false" outlineLevel="0" collapsed="false">
      <c r="A5" s="3" t="n">
        <v>4</v>
      </c>
      <c r="B5" s="3" t="s">
        <v>515</v>
      </c>
      <c r="C5" s="3" t="s">
        <v>506</v>
      </c>
      <c r="D5" s="3" t="s">
        <v>507</v>
      </c>
      <c r="E5" s="3" t="s">
        <v>516</v>
      </c>
      <c r="F5" s="3" t="s">
        <v>517</v>
      </c>
      <c r="G5" s="3" t="s">
        <v>518</v>
      </c>
      <c r="H5" s="3" t="s">
        <v>511</v>
      </c>
    </row>
    <row r="6" customFormat="false" ht="23.85" hidden="false" customHeight="false" outlineLevel="0" collapsed="false">
      <c r="A6" s="3" t="n">
        <v>5</v>
      </c>
      <c r="B6" s="3" t="s">
        <v>519</v>
      </c>
      <c r="C6" s="3" t="s">
        <v>520</v>
      </c>
      <c r="D6" s="3" t="s">
        <v>521</v>
      </c>
      <c r="E6" s="3" t="s">
        <v>522</v>
      </c>
      <c r="F6" s="3" t="s">
        <v>523</v>
      </c>
      <c r="G6" s="3" t="s">
        <v>524</v>
      </c>
      <c r="H6" s="3" t="s">
        <v>504</v>
      </c>
    </row>
    <row r="7" customFormat="false" ht="23.85" hidden="false" customHeight="false" outlineLevel="0" collapsed="false">
      <c r="A7" s="3" t="n">
        <v>6</v>
      </c>
      <c r="B7" s="3" t="s">
        <v>525</v>
      </c>
      <c r="C7" s="3" t="s">
        <v>526</v>
      </c>
      <c r="D7" s="3" t="s">
        <v>527</v>
      </c>
      <c r="E7" s="3" t="s">
        <v>528</v>
      </c>
      <c r="F7" s="3" t="s">
        <v>529</v>
      </c>
      <c r="G7" s="3" t="s">
        <v>530</v>
      </c>
      <c r="H7" s="3" t="s">
        <v>504</v>
      </c>
    </row>
    <row r="8" customFormat="false" ht="23.85" hidden="false" customHeight="false" outlineLevel="0" collapsed="false">
      <c r="A8" s="3" t="n">
        <v>7</v>
      </c>
      <c r="B8" s="3" t="s">
        <v>531</v>
      </c>
      <c r="C8" s="3" t="s">
        <v>526</v>
      </c>
      <c r="D8" s="3" t="s">
        <v>527</v>
      </c>
      <c r="E8" s="3" t="s">
        <v>532</v>
      </c>
      <c r="F8" s="3" t="s">
        <v>533</v>
      </c>
      <c r="G8" s="3" t="s">
        <v>534</v>
      </c>
      <c r="H8" s="3" t="s">
        <v>504</v>
      </c>
    </row>
    <row r="9" customFormat="false" ht="23.85" hidden="false" customHeight="false" outlineLevel="0" collapsed="false">
      <c r="A9" s="3" t="n">
        <v>8</v>
      </c>
      <c r="B9" s="3" t="s">
        <v>535</v>
      </c>
      <c r="C9" s="3" t="s">
        <v>526</v>
      </c>
      <c r="D9" s="3" t="s">
        <v>527</v>
      </c>
      <c r="E9" s="3" t="s">
        <v>536</v>
      </c>
      <c r="F9" s="3" t="s">
        <v>537</v>
      </c>
      <c r="G9" s="3" t="s">
        <v>273</v>
      </c>
      <c r="H9" s="3" t="s">
        <v>504</v>
      </c>
    </row>
    <row r="10" customFormat="false" ht="23.85" hidden="false" customHeight="false" outlineLevel="0" collapsed="false">
      <c r="A10" s="3" t="n">
        <v>9</v>
      </c>
      <c r="B10" s="3" t="s">
        <v>538</v>
      </c>
      <c r="C10" s="3" t="s">
        <v>526</v>
      </c>
      <c r="D10" s="3" t="s">
        <v>527</v>
      </c>
      <c r="E10" s="3" t="s">
        <v>539</v>
      </c>
      <c r="F10" s="3" t="s">
        <v>540</v>
      </c>
      <c r="G10" s="3" t="s">
        <v>200</v>
      </c>
      <c r="H10" s="3" t="s">
        <v>504</v>
      </c>
    </row>
    <row r="11" customFormat="false" ht="23.85" hidden="false" customHeight="false" outlineLevel="0" collapsed="false">
      <c r="A11" s="3" t="n">
        <v>10</v>
      </c>
      <c r="B11" s="3" t="s">
        <v>541</v>
      </c>
      <c r="C11" s="3" t="s">
        <v>542</v>
      </c>
      <c r="D11" s="3" t="s">
        <v>543</v>
      </c>
      <c r="E11" s="3" t="s">
        <v>544</v>
      </c>
      <c r="F11" s="3" t="s">
        <v>545</v>
      </c>
      <c r="G11" s="3" t="s">
        <v>61</v>
      </c>
      <c r="H11" s="3" t="s">
        <v>504</v>
      </c>
    </row>
    <row r="12" customFormat="false" ht="23.85" hidden="false" customHeight="false" outlineLevel="0" collapsed="false">
      <c r="A12" s="3" t="n">
        <v>11</v>
      </c>
      <c r="B12" s="3" t="s">
        <v>546</v>
      </c>
      <c r="C12" s="3" t="s">
        <v>542</v>
      </c>
      <c r="D12" s="3" t="s">
        <v>543</v>
      </c>
      <c r="E12" s="3" t="s">
        <v>547</v>
      </c>
      <c r="F12" s="3" t="s">
        <v>548</v>
      </c>
      <c r="G12" s="3" t="s">
        <v>222</v>
      </c>
      <c r="H12" s="3" t="s">
        <v>504</v>
      </c>
    </row>
    <row r="13" customFormat="false" ht="23.85" hidden="false" customHeight="false" outlineLevel="0" collapsed="false">
      <c r="A13" s="3" t="n">
        <v>12</v>
      </c>
      <c r="B13" s="3" t="s">
        <v>549</v>
      </c>
      <c r="C13" s="3" t="s">
        <v>542</v>
      </c>
      <c r="D13" s="3" t="s">
        <v>543</v>
      </c>
      <c r="E13" s="3" t="s">
        <v>550</v>
      </c>
      <c r="F13" s="3" t="s">
        <v>107</v>
      </c>
      <c r="G13" s="3" t="s">
        <v>116</v>
      </c>
      <c r="H13" s="3" t="s">
        <v>504</v>
      </c>
    </row>
    <row r="14" customFormat="false" ht="23.85" hidden="false" customHeight="false" outlineLevel="0" collapsed="false">
      <c r="A14" s="3" t="n">
        <v>13</v>
      </c>
      <c r="B14" s="3" t="s">
        <v>551</v>
      </c>
      <c r="C14" s="3" t="s">
        <v>520</v>
      </c>
      <c r="D14" s="3" t="s">
        <v>552</v>
      </c>
      <c r="E14" s="3" t="s">
        <v>553</v>
      </c>
      <c r="F14" s="3" t="s">
        <v>523</v>
      </c>
      <c r="G14" s="3" t="s">
        <v>554</v>
      </c>
      <c r="H14" s="3" t="s">
        <v>504</v>
      </c>
    </row>
    <row r="15" customFormat="false" ht="23.85" hidden="false" customHeight="false" outlineLevel="0" collapsed="false">
      <c r="A15" s="3" t="n">
        <v>14</v>
      </c>
      <c r="B15" s="3" t="s">
        <v>555</v>
      </c>
      <c r="C15" s="3" t="s">
        <v>556</v>
      </c>
      <c r="D15" s="3" t="s">
        <v>557</v>
      </c>
      <c r="E15" s="3" t="s">
        <v>558</v>
      </c>
      <c r="F15" s="3" t="s">
        <v>559</v>
      </c>
      <c r="G15" s="3" t="s">
        <v>89</v>
      </c>
      <c r="H15" s="3" t="s">
        <v>504</v>
      </c>
    </row>
    <row r="16" customFormat="false" ht="23.85" hidden="false" customHeight="false" outlineLevel="0" collapsed="false">
      <c r="A16" s="3" t="n">
        <v>15</v>
      </c>
      <c r="B16" s="3" t="s">
        <v>560</v>
      </c>
      <c r="C16" s="3" t="s">
        <v>556</v>
      </c>
      <c r="D16" s="3" t="s">
        <v>557</v>
      </c>
      <c r="E16" s="3" t="s">
        <v>561</v>
      </c>
      <c r="F16" s="3" t="s">
        <v>562</v>
      </c>
      <c r="G16" s="3" t="s">
        <v>153</v>
      </c>
      <c r="H16" s="3" t="s">
        <v>504</v>
      </c>
    </row>
    <row r="17" customFormat="false" ht="23.85" hidden="false" customHeight="false" outlineLevel="0" collapsed="false">
      <c r="A17" s="3" t="n">
        <v>16</v>
      </c>
      <c r="B17" s="3" t="s">
        <v>563</v>
      </c>
      <c r="C17" s="3" t="s">
        <v>526</v>
      </c>
      <c r="D17" s="3" t="s">
        <v>557</v>
      </c>
      <c r="E17" s="3" t="s">
        <v>564</v>
      </c>
      <c r="F17" s="3" t="s">
        <v>565</v>
      </c>
      <c r="G17" s="3" t="s">
        <v>566</v>
      </c>
      <c r="H17" s="3" t="s">
        <v>504</v>
      </c>
    </row>
    <row r="18" customFormat="false" ht="23.85" hidden="false" customHeight="false" outlineLevel="0" collapsed="false">
      <c r="A18" s="3" t="n">
        <v>17</v>
      </c>
      <c r="B18" s="3" t="s">
        <v>567</v>
      </c>
      <c r="C18" s="3" t="s">
        <v>526</v>
      </c>
      <c r="D18" s="3" t="s">
        <v>557</v>
      </c>
      <c r="E18" s="3" t="s">
        <v>568</v>
      </c>
      <c r="F18" s="3" t="s">
        <v>569</v>
      </c>
      <c r="G18" s="3" t="s">
        <v>570</v>
      </c>
      <c r="H18" s="3" t="s">
        <v>571</v>
      </c>
    </row>
    <row r="19" customFormat="false" ht="23.85" hidden="false" customHeight="false" outlineLevel="0" collapsed="false">
      <c r="A19" s="3" t="n">
        <v>18</v>
      </c>
      <c r="B19" s="3" t="s">
        <v>572</v>
      </c>
      <c r="C19" s="3" t="s">
        <v>573</v>
      </c>
      <c r="D19" s="3" t="s">
        <v>574</v>
      </c>
      <c r="E19" s="3" t="s">
        <v>575</v>
      </c>
      <c r="F19" s="3" t="s">
        <v>322</v>
      </c>
      <c r="G19" s="3" t="s">
        <v>576</v>
      </c>
      <c r="H19" s="3" t="s">
        <v>504</v>
      </c>
    </row>
    <row r="20" customFormat="false" ht="23.85" hidden="false" customHeight="false" outlineLevel="0" collapsed="false">
      <c r="A20" s="3" t="n">
        <v>19</v>
      </c>
      <c r="B20" s="3" t="s">
        <v>577</v>
      </c>
      <c r="C20" s="3" t="s">
        <v>573</v>
      </c>
      <c r="D20" s="3" t="s">
        <v>574</v>
      </c>
      <c r="E20" s="3" t="s">
        <v>578</v>
      </c>
      <c r="F20" s="3" t="s">
        <v>579</v>
      </c>
      <c r="G20" s="3" t="s">
        <v>580</v>
      </c>
      <c r="H20" s="3" t="s">
        <v>504</v>
      </c>
    </row>
    <row r="21" customFormat="false" ht="23.85" hidden="false" customHeight="false" outlineLevel="0" collapsed="false">
      <c r="A21" s="3" t="n">
        <v>20</v>
      </c>
      <c r="B21" s="3" t="s">
        <v>581</v>
      </c>
      <c r="C21" s="3" t="s">
        <v>573</v>
      </c>
      <c r="D21" s="3" t="s">
        <v>574</v>
      </c>
      <c r="E21" s="3" t="s">
        <v>582</v>
      </c>
      <c r="F21" s="3" t="s">
        <v>385</v>
      </c>
      <c r="G21" s="3" t="s">
        <v>583</v>
      </c>
      <c r="H21" s="3" t="s">
        <v>504</v>
      </c>
    </row>
    <row r="22" customFormat="false" ht="23.85" hidden="false" customHeight="false" outlineLevel="0" collapsed="false">
      <c r="A22" s="3" t="n">
        <v>21</v>
      </c>
      <c r="B22" s="3" t="s">
        <v>584</v>
      </c>
      <c r="C22" s="3" t="s">
        <v>500</v>
      </c>
      <c r="D22" s="3" t="s">
        <v>574</v>
      </c>
      <c r="E22" s="3" t="s">
        <v>585</v>
      </c>
      <c r="F22" s="3" t="s">
        <v>586</v>
      </c>
      <c r="G22" s="3" t="s">
        <v>587</v>
      </c>
      <c r="H22" s="3" t="s">
        <v>504</v>
      </c>
    </row>
    <row r="23" customFormat="false" ht="23.85" hidden="false" customHeight="false" outlineLevel="0" collapsed="false">
      <c r="A23" s="3" t="n">
        <v>22</v>
      </c>
      <c r="B23" s="3" t="s">
        <v>588</v>
      </c>
      <c r="C23" s="3" t="s">
        <v>589</v>
      </c>
      <c r="D23" s="3" t="s">
        <v>590</v>
      </c>
      <c r="E23" s="3" t="s">
        <v>591</v>
      </c>
      <c r="F23" s="3" t="s">
        <v>579</v>
      </c>
      <c r="G23" s="3" t="s">
        <v>252</v>
      </c>
      <c r="H23" s="3" t="s">
        <v>504</v>
      </c>
    </row>
    <row r="24" customFormat="false" ht="23.85" hidden="false" customHeight="false" outlineLevel="0" collapsed="false">
      <c r="A24" s="3" t="n">
        <v>23</v>
      </c>
      <c r="B24" s="3" t="s">
        <v>592</v>
      </c>
      <c r="C24" s="3" t="s">
        <v>589</v>
      </c>
      <c r="D24" s="3" t="s">
        <v>590</v>
      </c>
      <c r="E24" s="3" t="s">
        <v>593</v>
      </c>
      <c r="F24" s="3" t="s">
        <v>594</v>
      </c>
      <c r="G24" s="3" t="s">
        <v>595</v>
      </c>
      <c r="H24" s="3" t="s">
        <v>511</v>
      </c>
    </row>
    <row r="25" customFormat="false" ht="23.85" hidden="false" customHeight="false" outlineLevel="0" collapsed="false">
      <c r="A25" s="3" t="n">
        <v>24</v>
      </c>
      <c r="B25" s="3" t="s">
        <v>596</v>
      </c>
      <c r="C25" s="3" t="s">
        <v>589</v>
      </c>
      <c r="D25" s="3" t="s">
        <v>590</v>
      </c>
      <c r="E25" s="3" t="s">
        <v>597</v>
      </c>
      <c r="F25" s="3" t="s">
        <v>598</v>
      </c>
      <c r="G25" s="3" t="s">
        <v>75</v>
      </c>
      <c r="H25" s="3" t="s">
        <v>504</v>
      </c>
    </row>
    <row r="26" customFormat="false" ht="23.85" hidden="false" customHeight="false" outlineLevel="0" collapsed="false">
      <c r="A26" s="3" t="n">
        <v>25</v>
      </c>
      <c r="B26" s="3" t="s">
        <v>599</v>
      </c>
      <c r="C26" s="3" t="s">
        <v>600</v>
      </c>
      <c r="D26" s="3" t="s">
        <v>601</v>
      </c>
      <c r="E26" s="3" t="s">
        <v>602</v>
      </c>
      <c r="F26" s="3" t="s">
        <v>603</v>
      </c>
      <c r="G26" s="3" t="s">
        <v>604</v>
      </c>
      <c r="H26" s="3" t="s">
        <v>504</v>
      </c>
    </row>
    <row r="27" customFormat="false" ht="23.85" hidden="false" customHeight="false" outlineLevel="0" collapsed="false">
      <c r="A27" s="3" t="n">
        <v>26</v>
      </c>
      <c r="B27" s="3" t="s">
        <v>605</v>
      </c>
      <c r="C27" s="3" t="s">
        <v>589</v>
      </c>
      <c r="D27" s="3" t="s">
        <v>606</v>
      </c>
      <c r="E27" s="3" t="s">
        <v>607</v>
      </c>
      <c r="F27" s="3" t="s">
        <v>608</v>
      </c>
      <c r="G27" s="3" t="s">
        <v>173</v>
      </c>
      <c r="H27" s="3" t="s">
        <v>609</v>
      </c>
    </row>
    <row r="28" customFormat="false" ht="23.85" hidden="false" customHeight="false" outlineLevel="0" collapsed="false">
      <c r="A28" s="3" t="n">
        <v>27</v>
      </c>
      <c r="B28" s="3" t="s">
        <v>610</v>
      </c>
      <c r="C28" s="3" t="s">
        <v>589</v>
      </c>
      <c r="D28" s="3" t="s">
        <v>606</v>
      </c>
      <c r="E28" s="3" t="s">
        <v>611</v>
      </c>
      <c r="F28" s="3" t="s">
        <v>612</v>
      </c>
      <c r="G28" s="3" t="s">
        <v>613</v>
      </c>
      <c r="H28" s="3" t="s">
        <v>614</v>
      </c>
    </row>
    <row r="29" customFormat="false" ht="23.85" hidden="false" customHeight="false" outlineLevel="0" collapsed="false">
      <c r="A29" s="3" t="n">
        <v>28</v>
      </c>
      <c r="B29" s="3" t="s">
        <v>615</v>
      </c>
      <c r="C29" s="3" t="s">
        <v>520</v>
      </c>
      <c r="D29" s="3" t="s">
        <v>616</v>
      </c>
      <c r="E29" s="3" t="s">
        <v>617</v>
      </c>
      <c r="F29" s="3" t="s">
        <v>523</v>
      </c>
      <c r="G29" s="3" t="s">
        <v>350</v>
      </c>
      <c r="H29" s="3" t="s">
        <v>504</v>
      </c>
    </row>
    <row r="30" customFormat="false" ht="23.85" hidden="false" customHeight="false" outlineLevel="0" collapsed="false">
      <c r="A30" s="3" t="n">
        <v>29</v>
      </c>
      <c r="B30" s="3" t="s">
        <v>618</v>
      </c>
      <c r="C30" s="3" t="s">
        <v>526</v>
      </c>
      <c r="D30" s="3" t="s">
        <v>616</v>
      </c>
      <c r="E30" s="3" t="s">
        <v>619</v>
      </c>
      <c r="F30" s="3" t="s">
        <v>620</v>
      </c>
      <c r="G30" s="3" t="s">
        <v>621</v>
      </c>
      <c r="H30" s="3" t="s">
        <v>504</v>
      </c>
    </row>
    <row r="31" customFormat="false" ht="23.85" hidden="false" customHeight="false" outlineLevel="0" collapsed="false">
      <c r="A31" s="3" t="n">
        <v>30</v>
      </c>
      <c r="B31" s="3" t="s">
        <v>622</v>
      </c>
      <c r="C31" s="3" t="s">
        <v>526</v>
      </c>
      <c r="D31" s="3" t="s">
        <v>616</v>
      </c>
      <c r="E31" s="3" t="s">
        <v>623</v>
      </c>
      <c r="F31" s="3" t="s">
        <v>336</v>
      </c>
      <c r="G31" s="3" t="s">
        <v>624</v>
      </c>
      <c r="H31" s="3" t="s">
        <v>504</v>
      </c>
    </row>
    <row r="32" customFormat="false" ht="23.85" hidden="false" customHeight="false" outlineLevel="0" collapsed="false">
      <c r="A32" s="3" t="n">
        <v>31</v>
      </c>
      <c r="B32" s="3" t="s">
        <v>625</v>
      </c>
      <c r="C32" s="3" t="s">
        <v>526</v>
      </c>
      <c r="D32" s="3" t="s">
        <v>616</v>
      </c>
      <c r="E32" s="3" t="s">
        <v>626</v>
      </c>
      <c r="F32" s="3" t="s">
        <v>627</v>
      </c>
      <c r="G32" s="3" t="s">
        <v>628</v>
      </c>
      <c r="H32" s="3" t="s">
        <v>504</v>
      </c>
    </row>
    <row r="33" customFormat="false" ht="23.85" hidden="false" customHeight="false" outlineLevel="0" collapsed="false">
      <c r="A33" s="3" t="n">
        <v>32</v>
      </c>
      <c r="B33" s="3" t="s">
        <v>629</v>
      </c>
      <c r="C33" s="3" t="s">
        <v>500</v>
      </c>
      <c r="D33" s="3" t="s">
        <v>630</v>
      </c>
      <c r="E33" s="3" t="s">
        <v>631</v>
      </c>
      <c r="F33" s="3" t="s">
        <v>632</v>
      </c>
      <c r="G33" s="3" t="s">
        <v>633</v>
      </c>
      <c r="H33" s="3" t="s">
        <v>504</v>
      </c>
    </row>
    <row r="34" customFormat="false" ht="23.85" hidden="false" customHeight="false" outlineLevel="0" collapsed="false">
      <c r="A34" s="3" t="n">
        <v>33</v>
      </c>
      <c r="B34" s="3" t="s">
        <v>634</v>
      </c>
      <c r="C34" s="3" t="s">
        <v>589</v>
      </c>
      <c r="D34" s="3" t="s">
        <v>630</v>
      </c>
      <c r="E34" s="3" t="s">
        <v>635</v>
      </c>
      <c r="F34" s="3" t="s">
        <v>636</v>
      </c>
      <c r="G34" s="3" t="s">
        <v>637</v>
      </c>
      <c r="H34" s="3" t="s">
        <v>504</v>
      </c>
    </row>
    <row r="35" customFormat="false" ht="23.85" hidden="false" customHeight="false" outlineLevel="0" collapsed="false">
      <c r="A35" s="3" t="n">
        <v>34</v>
      </c>
      <c r="B35" s="3" t="s">
        <v>638</v>
      </c>
      <c r="C35" s="3" t="s">
        <v>639</v>
      </c>
      <c r="D35" s="3" t="s">
        <v>640</v>
      </c>
      <c r="E35" s="3" t="s">
        <v>641</v>
      </c>
      <c r="F35" s="3" t="s">
        <v>642</v>
      </c>
      <c r="G35" s="3" t="s">
        <v>643</v>
      </c>
      <c r="H35" s="3" t="s">
        <v>504</v>
      </c>
    </row>
    <row r="36" customFormat="false" ht="23.85" hidden="false" customHeight="false" outlineLevel="0" collapsed="false">
      <c r="A36" s="3" t="n">
        <v>35</v>
      </c>
      <c r="B36" s="3" t="s">
        <v>644</v>
      </c>
      <c r="C36" s="3" t="s">
        <v>589</v>
      </c>
      <c r="D36" s="3" t="s">
        <v>645</v>
      </c>
      <c r="E36" s="3" t="s">
        <v>646</v>
      </c>
      <c r="F36" s="3" t="s">
        <v>647</v>
      </c>
      <c r="G36" s="3" t="s">
        <v>233</v>
      </c>
      <c r="H36" s="3" t="s">
        <v>504</v>
      </c>
    </row>
    <row r="37" customFormat="false" ht="23.85" hidden="false" customHeight="false" outlineLevel="0" collapsed="false">
      <c r="A37" s="3" t="n">
        <v>36</v>
      </c>
      <c r="B37" s="3" t="s">
        <v>648</v>
      </c>
      <c r="C37" s="3" t="s">
        <v>589</v>
      </c>
      <c r="D37" s="3" t="s">
        <v>645</v>
      </c>
      <c r="E37" s="3" t="s">
        <v>649</v>
      </c>
      <c r="F37" s="3" t="s">
        <v>650</v>
      </c>
      <c r="G37" s="3" t="s">
        <v>651</v>
      </c>
      <c r="H37" s="3" t="s">
        <v>511</v>
      </c>
    </row>
    <row r="38" customFormat="false" ht="23.85" hidden="false" customHeight="false" outlineLevel="0" collapsed="false">
      <c r="A38" s="3" t="n">
        <v>37</v>
      </c>
      <c r="B38" s="3" t="s">
        <v>652</v>
      </c>
      <c r="C38" s="3" t="s">
        <v>653</v>
      </c>
      <c r="D38" s="3" t="s">
        <v>654</v>
      </c>
      <c r="E38" s="3" t="s">
        <v>655</v>
      </c>
      <c r="F38" s="3" t="s">
        <v>656</v>
      </c>
      <c r="G38" s="3" t="s">
        <v>657</v>
      </c>
      <c r="H38" s="3" t="s">
        <v>504</v>
      </c>
    </row>
    <row r="39" customFormat="false" ht="23.85" hidden="false" customHeight="false" outlineLevel="0" collapsed="false">
      <c r="A39" s="3" t="n">
        <v>38</v>
      </c>
      <c r="B39" s="3" t="s">
        <v>658</v>
      </c>
      <c r="C39" s="3" t="s">
        <v>500</v>
      </c>
      <c r="D39" s="3" t="s">
        <v>659</v>
      </c>
      <c r="E39" s="3" t="s">
        <v>660</v>
      </c>
      <c r="F39" s="3" t="s">
        <v>661</v>
      </c>
      <c r="G39" s="3" t="s">
        <v>187</v>
      </c>
      <c r="H39" s="3" t="s">
        <v>504</v>
      </c>
    </row>
    <row r="40" customFormat="false" ht="23.85" hidden="false" customHeight="false" outlineLevel="0" collapsed="false">
      <c r="A40" s="3" t="n">
        <v>39</v>
      </c>
      <c r="B40" s="3" t="s">
        <v>662</v>
      </c>
      <c r="C40" s="3" t="s">
        <v>589</v>
      </c>
      <c r="D40" s="3" t="s">
        <v>659</v>
      </c>
      <c r="E40" s="3" t="s">
        <v>663</v>
      </c>
      <c r="F40" s="3" t="s">
        <v>664</v>
      </c>
      <c r="G40" s="3" t="s">
        <v>665</v>
      </c>
      <c r="H40" s="3" t="s">
        <v>504</v>
      </c>
    </row>
    <row r="41" customFormat="false" ht="23.85" hidden="false" customHeight="false" outlineLevel="0" collapsed="false">
      <c r="A41" s="3" t="n">
        <v>40</v>
      </c>
      <c r="B41" s="3" t="s">
        <v>666</v>
      </c>
      <c r="C41" s="3" t="s">
        <v>589</v>
      </c>
      <c r="D41" s="3" t="s">
        <v>659</v>
      </c>
      <c r="E41" s="3" t="s">
        <v>667</v>
      </c>
      <c r="F41" s="3" t="s">
        <v>668</v>
      </c>
      <c r="G41" s="3" t="s">
        <v>669</v>
      </c>
      <c r="H41" s="3" t="s">
        <v>504</v>
      </c>
    </row>
    <row r="42" customFormat="false" ht="23.85" hidden="false" customHeight="false" outlineLevel="0" collapsed="false">
      <c r="A42" s="3" t="n">
        <v>41</v>
      </c>
      <c r="B42" s="3" t="s">
        <v>670</v>
      </c>
      <c r="C42" s="3" t="s">
        <v>589</v>
      </c>
      <c r="D42" s="3" t="s">
        <v>659</v>
      </c>
      <c r="E42" s="3" t="s">
        <v>671</v>
      </c>
      <c r="F42" s="3" t="s">
        <v>672</v>
      </c>
      <c r="G42" s="3" t="s">
        <v>673</v>
      </c>
      <c r="H42" s="3" t="s">
        <v>674</v>
      </c>
    </row>
    <row r="43" customFormat="false" ht="23.85" hidden="false" customHeight="false" outlineLevel="0" collapsed="false">
      <c r="A43" s="3" t="n">
        <v>42</v>
      </c>
      <c r="B43" s="3" t="s">
        <v>675</v>
      </c>
      <c r="C43" s="3" t="s">
        <v>589</v>
      </c>
      <c r="D43" s="3" t="s">
        <v>659</v>
      </c>
      <c r="E43" s="3" t="s">
        <v>676</v>
      </c>
      <c r="F43" s="3" t="s">
        <v>677</v>
      </c>
      <c r="G43" s="3" t="s">
        <v>678</v>
      </c>
      <c r="H43" s="3" t="s">
        <v>504</v>
      </c>
    </row>
    <row r="44" customFormat="false" ht="23.85" hidden="false" customHeight="false" outlineLevel="0" collapsed="false">
      <c r="A44" s="3" t="n">
        <v>43</v>
      </c>
      <c r="B44" s="3" t="s">
        <v>679</v>
      </c>
      <c r="C44" s="3" t="s">
        <v>589</v>
      </c>
      <c r="D44" s="3" t="s">
        <v>659</v>
      </c>
      <c r="E44" s="3" t="s">
        <v>680</v>
      </c>
      <c r="F44" s="3" t="s">
        <v>681</v>
      </c>
      <c r="G44" s="3" t="s">
        <v>682</v>
      </c>
      <c r="H44" s="3" t="s">
        <v>504</v>
      </c>
    </row>
    <row r="45" customFormat="false" ht="23.85" hidden="false" customHeight="false" outlineLevel="0" collapsed="false">
      <c r="A45" s="3" t="n">
        <v>44</v>
      </c>
      <c r="B45" s="3" t="s">
        <v>683</v>
      </c>
      <c r="C45" s="3" t="s">
        <v>520</v>
      </c>
      <c r="D45" s="3" t="s">
        <v>684</v>
      </c>
      <c r="E45" s="3" t="s">
        <v>685</v>
      </c>
      <c r="F45" s="3" t="s">
        <v>686</v>
      </c>
      <c r="G45" s="3" t="s">
        <v>129</v>
      </c>
      <c r="H45" s="3" t="s">
        <v>504</v>
      </c>
    </row>
    <row r="46" customFormat="false" ht="23.85" hidden="false" customHeight="false" outlineLevel="0" collapsed="false">
      <c r="A46" s="3" t="n">
        <v>45</v>
      </c>
      <c r="B46" s="3" t="s">
        <v>687</v>
      </c>
      <c r="C46" s="3" t="s">
        <v>500</v>
      </c>
      <c r="D46" s="3" t="s">
        <v>688</v>
      </c>
      <c r="E46" s="3" t="s">
        <v>689</v>
      </c>
      <c r="F46" s="3" t="s">
        <v>690</v>
      </c>
      <c r="G46" s="3" t="s">
        <v>691</v>
      </c>
      <c r="H46" s="3" t="s">
        <v>504</v>
      </c>
    </row>
    <row r="47" customFormat="false" ht="23.85" hidden="false" customHeight="false" outlineLevel="0" collapsed="false">
      <c r="A47" s="3" t="n">
        <v>46</v>
      </c>
      <c r="B47" s="3" t="s">
        <v>692</v>
      </c>
      <c r="C47" s="3" t="s">
        <v>589</v>
      </c>
      <c r="D47" s="3" t="s">
        <v>688</v>
      </c>
      <c r="E47" s="3" t="s">
        <v>693</v>
      </c>
      <c r="F47" s="3" t="s">
        <v>694</v>
      </c>
      <c r="G47" s="3" t="s">
        <v>695</v>
      </c>
      <c r="H47" s="3" t="s">
        <v>504</v>
      </c>
    </row>
    <row r="48" customFormat="false" ht="23.85" hidden="false" customHeight="false" outlineLevel="0" collapsed="false">
      <c r="A48" s="3" t="n">
        <v>47</v>
      </c>
      <c r="B48" s="3" t="s">
        <v>696</v>
      </c>
      <c r="C48" s="3" t="s">
        <v>589</v>
      </c>
      <c r="D48" s="3" t="s">
        <v>688</v>
      </c>
      <c r="E48" s="3" t="s">
        <v>697</v>
      </c>
      <c r="F48" s="3" t="s">
        <v>698</v>
      </c>
      <c r="G48" s="3" t="s">
        <v>35</v>
      </c>
      <c r="H48" s="3" t="s">
        <v>504</v>
      </c>
    </row>
    <row r="49" customFormat="false" ht="23.85" hidden="false" customHeight="false" outlineLevel="0" collapsed="false">
      <c r="A49" s="3" t="n">
        <v>48</v>
      </c>
      <c r="B49" s="3" t="s">
        <v>699</v>
      </c>
      <c r="C49" s="3" t="s">
        <v>700</v>
      </c>
      <c r="D49" s="3" t="s">
        <v>688</v>
      </c>
      <c r="E49" s="3" t="s">
        <v>701</v>
      </c>
      <c r="F49" s="3" t="s">
        <v>702</v>
      </c>
      <c r="G49" s="3" t="s">
        <v>703</v>
      </c>
      <c r="H49" s="3" t="s">
        <v>504</v>
      </c>
    </row>
    <row r="50" customFormat="false" ht="23.85" hidden="false" customHeight="false" outlineLevel="0" collapsed="false">
      <c r="A50" s="3" t="n">
        <v>49</v>
      </c>
      <c r="B50" s="3" t="s">
        <v>704</v>
      </c>
      <c r="C50" s="3" t="s">
        <v>589</v>
      </c>
      <c r="D50" s="3" t="s">
        <v>688</v>
      </c>
      <c r="E50" s="3" t="s">
        <v>705</v>
      </c>
      <c r="F50" s="3" t="s">
        <v>706</v>
      </c>
      <c r="G50" s="3" t="s">
        <v>264</v>
      </c>
      <c r="H50" s="3" t="s">
        <v>504</v>
      </c>
    </row>
    <row r="51" customFormat="false" ht="35.05" hidden="false" customHeight="false" outlineLevel="0" collapsed="false">
      <c r="A51" s="3" t="n">
        <v>50</v>
      </c>
      <c r="B51" s="3" t="s">
        <v>707</v>
      </c>
      <c r="C51" s="3" t="s">
        <v>589</v>
      </c>
      <c r="D51" s="3" t="s">
        <v>708</v>
      </c>
      <c r="E51" s="3" t="s">
        <v>709</v>
      </c>
      <c r="F51" s="3" t="s">
        <v>710</v>
      </c>
      <c r="G51" s="3" t="s">
        <v>711</v>
      </c>
      <c r="H51" s="3" t="s">
        <v>504</v>
      </c>
    </row>
    <row r="53" customFormat="false" ht="60" hidden="false" customHeight="true" outlineLevel="0" collapsed="false">
      <c r="A53" s="16" t="s">
        <v>712</v>
      </c>
      <c r="B53" s="16"/>
      <c r="C53" s="16"/>
      <c r="D53" s="16"/>
      <c r="E53" s="16"/>
      <c r="F53" s="16"/>
      <c r="G53" s="16"/>
      <c r="H53" s="16"/>
    </row>
  </sheetData>
  <mergeCells count="1">
    <mergeCell ref="A53:H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315</v>
      </c>
      <c r="B1" s="1" t="s">
        <v>713</v>
      </c>
    </row>
    <row r="2" customFormat="false" ht="15" hidden="false" customHeight="false" outlineLevel="0" collapsed="false">
      <c r="A2" s="11" t="s">
        <v>714</v>
      </c>
      <c r="B2" s="11" t="s">
        <v>715</v>
      </c>
    </row>
    <row r="3" customFormat="false" ht="23.85" hidden="false" customHeight="false" outlineLevel="0" collapsed="false">
      <c r="A3" s="11" t="s">
        <v>716</v>
      </c>
      <c r="B3" s="11" t="s">
        <v>717</v>
      </c>
    </row>
    <row r="4" customFormat="false" ht="23.85" hidden="false" customHeight="false" outlineLevel="0" collapsed="false">
      <c r="A4" s="11" t="s">
        <v>718</v>
      </c>
      <c r="B4" s="11" t="s">
        <v>719</v>
      </c>
    </row>
    <row r="5" customFormat="false" ht="15" hidden="false" customHeight="false" outlineLevel="0" collapsed="false">
      <c r="A5" s="11" t="s">
        <v>720</v>
      </c>
      <c r="B5" s="11" t="s">
        <v>721</v>
      </c>
    </row>
    <row r="6" customFormat="false" ht="35.05" hidden="false" customHeight="false" outlineLevel="0" collapsed="false">
      <c r="A6" s="11" t="s">
        <v>722</v>
      </c>
      <c r="B6" s="11" t="s">
        <v>723</v>
      </c>
    </row>
    <row r="7" customFormat="false" ht="15" hidden="false" customHeight="false" outlineLevel="0" collapsed="false">
      <c r="A7" s="11" t="s">
        <v>724</v>
      </c>
      <c r="B7" s="11" t="s">
        <v>725</v>
      </c>
    </row>
    <row r="8" customFormat="false" ht="15" hidden="false" customHeight="false" outlineLevel="0" collapsed="false">
      <c r="A8" s="11" t="s">
        <v>726</v>
      </c>
      <c r="B8" s="11" t="s">
        <v>727</v>
      </c>
    </row>
    <row r="9" customFormat="false" ht="15" hidden="false" customHeight="false" outlineLevel="0" collapsed="false">
      <c r="A9" s="11" t="s">
        <v>728</v>
      </c>
      <c r="B9" s="11" t="s">
        <v>729</v>
      </c>
    </row>
    <row r="10" customFormat="false" ht="15" hidden="false" customHeight="false" outlineLevel="0" collapsed="false">
      <c r="A10" s="11" t="s">
        <v>730</v>
      </c>
      <c r="B10" s="11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2026-09-14T10:43:47Z</dcterms:created>
  <dc:creator>openpyxl</dc:creator>
  <dc:description/>
  <dc:language>en-US</dc:language>
  <cp:lastModifiedBy/>
  <dcterms:modified xsi:type="dcterms:W3CDTF">2026-09-14T10:43:47Z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